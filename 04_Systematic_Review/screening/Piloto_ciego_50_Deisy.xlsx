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ciones" sheetId="1" state="visible" r:id="rId3"/>
    <sheet name="Piloto_50"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<sst xmlns="http://schemas.openxmlformats.org/spreadsheetml/2006/main" count="236" uniqueCount="230">
  <si>
    <t xml:space="preserve">Piloto ciego de cribado — Entregable 04</t>
  </si>
  <si>
    <t xml:space="preserve">Criba los 50 registros de la hoja "Piloto_50" leyendo título y resumen. No hay decisiones de la IA en este archivo.</t>
  </si>
  <si>
    <t xml:space="preserve">Llena solo las celdas amarillas: Decisión (INCLUIR / EXCLUIR / DUDOSO), Código (si EXCLUIR) y Nota (opcional). La fila gris es un ejemplo y no cuenta.</t>
  </si>
  <si>
    <t xml:space="preserve">Regla: ante la duda, DUDOSO (pasa a texto completo). Si EXCLUIR, usa el PRIMER criterio que claramente falla, en el orden E1→E9.</t>
  </si>
  <si>
    <t xml:space="preserve">Pregunta: ¿Qué evidencia comparativa existe sobre herramientas basadas en LLM generativos diseñadas para provocar el razonamiento propio de estudiantes de educación superior, y qué efectos reportan sobre reflexión/metacognición, autorregulación, pensamiento crítico, dependencia de la IA, integridad académica y rendimiento de aprendizaje?</t>
  </si>
  <si>
    <t xml:space="preserve">Criterios de inclusión</t>
  </si>
  <si>
    <t xml:space="preserve">I1 Población: ≥80 % de la muestra en educación superior (pregrado o posgrado), o resultados de ese subgrupo reportados por separado.</t>
  </si>
  <si>
    <t xml:space="preserve">I2 Herramienta: basada en un LLM generativo (GPT-3 o posterior). Publicado entre 2022 y la fecha de búsqueda (24-10-2026).</t>
  </si>
  <si>
    <t xml:space="preserve">I3 Andamiaje: la herramienta está diseñada o configurada para provocar el razonamiento propio del estudiante (preguntas socráticas, pistas graduadas, prompts de reflexión o metacognitivos, no entregar la respuesta). Incluye: tutor socrático, asistente que da pistas en vez de soluciones. Excluye: ChatGPT sin configurar, IA que solo genera contenido o da feedback/respuestas, IA usada por el docente.</t>
  </si>
  <si>
    <t xml:space="preserve">I4 Resultados: reflexión/metacognición, autorregulación, pensamiento crítico, dependencia/sobreconfianza en la IA, integridad académica, o rendimiento de aprendizaje medido con prueba. Se aceptan medidas autorreportadas y objetivas.</t>
  </si>
  <si>
    <t xml:space="preserve">I5 Diseño: aleatorizado, cuasiexperimental con grupo control, o cruzado contrabalanceado. Se excluye pre-post de un solo grupo y comparaciones sin grupo control.</t>
  </si>
  <si>
    <t xml:space="preserve">I6 Publicación: revista o artículo completo de congreso revisado por pares. Se excluyen pósters, extended abstracts, works-in-progress y preprints.</t>
  </si>
  <si>
    <t xml:space="preserve">Códigos de exclusión (en este orden)</t>
  </si>
  <si>
    <t xml:space="preserve">E1 Población no elegible · E2 Sin LLM generativo · E3 Sin andamiaje del razonamiento propio · E4 Revisión, estudio conceptual o protocolo · E5 Diseño no elegible · E6 Sin resultado de interés · E7 No revisado por pares / no es artículo completo · E8 Fuera de la ventana temporal · E9 Idioma distinto de inglés o español</t>
  </si>
  <si>
    <t xml:space="preserve">(E10 texto completo no disponible y E11 informe duplicado se usan solo en la fase de texto completo.)</t>
  </si>
  <si>
    <t xml:space="preserve">N.º</t>
  </si>
  <si>
    <t xml:space="preserve">ID</t>
  </si>
  <si>
    <t xml:space="preserve">Año</t>
  </si>
  <si>
    <t xml:space="preserve">Título</t>
  </si>
  <si>
    <t xml:space="preserve">Revista / congreso</t>
  </si>
  <si>
    <t xml:space="preserve">Resumen</t>
  </si>
  <si>
    <t xml:space="preserve">Decisión</t>
  </si>
  <si>
    <t xml:space="preserve">Código</t>
  </si>
  <si>
    <t xml:space="preserve">Nota</t>
  </si>
  <si>
    <t xml:space="preserve">EJEMPLO</t>
  </si>
  <si>
    <t xml:space="preserve">R136</t>
  </si>
  <si>
    <t xml:space="preserve">Empowering ChatGPT with guidance mechanism in blended learning: effect of self-regulated learning, higher-order thinking skills, and knowledge construction</t>
  </si>
  <si>
    <t xml:space="preserve">International Journal of Educational Technology in Higher Education</t>
  </si>
  <si>
    <t xml:space="preserve">In the evolving landscape of higher education, challenges such as the COVID-19 pandemic have underscored the necessity for innovative teaching methodologies. These challenges have catalyzed the integration of technology into education, particularly in blended learning environments, to bolster self-regulated learning (SRL) and higher-order thinking skills (HOTS). However, increased autonomy in blended learning can lead to learning disruptions if issues are not promptly addressed. In this context, OpenAI's ChatGPT, known for its extensive knowledge base and immediate feedback capability, emerges as a significant educational resource. Nonetheless, there are concerns that students might become excessively dependent on such tools, potentially hindering their development of HOTS. To address these concerns, this study introduces the Guidance-based ChatGPT-assisted Learning Aid (GCLA). This approach modifies the use of ChatGPT in educational settings by encouraging students to attempt problem-solving independently before seeking ChatGPT assistance. When engaged, the GCLA provides guidance through hints rather than direct answers, fostering an environment conducive to the development of SRL and HOTS. A randomized controlled trial (RCT) was employed to examine the impact of the GCLA compared to traditional ChatGPT use in a foundational chemistry course within a blended learning setting. This study involved 61 undergraduate students from a university in Taiwan. The findings reveal that the GCLA enhances SRL, HOTS, and knowledge construction compared to traditional ChatGPT use. These results directly align with the research objective to improve learning outcomes through providing guidance rather than answers by ChatGPT. In conclusion, the introduction of the GCLA has not only facilitated more effective learning experiences in blended learning environments but also ensured that students engage more actively in their educational journey. The implications of this study highlight the potential of ChatGPT-based tools in enhancing the quality of higher education, particularly in fostering essential skills such as self-regulation and HOTS. Furthermore, this research offers insights regarding the more effective use of ChatGPT in education.</t>
  </si>
  <si>
    <t xml:space="preserve">INCLUIR</t>
  </si>
  <si>
    <t xml:space="preserve">Semilla (no cuenta): ChatGPT con pistas en vez de respuestas, ECA, autorregulación</t>
  </si>
  <si>
    <t xml:space="preserve">R188</t>
  </si>
  <si>
    <t xml:space="preserve">Effects of AI chatbot‐supported cooperative flipped classroom on student collaboration, self‐regulated learning and academic performance: A mastery learning perspective</t>
  </si>
  <si>
    <t xml:space="preserve">British Journal of Educational Technology</t>
  </si>
  <si>
    <t xml:space="preserve">Despite the increasing application of AI chatbots, few studies have examined the effectiveness of AI chatbot‐supported cooperative‐flipped classrooms in university teaching. Based on mastery learning theory, this study employed a quasi‑experimental design to examine how an AI chatbot‐supported cooperative‑flipped classroom influences students' collaboration, self‐regulated learning and academic performance, and whether students with different prior knowledge levels demonstrate distinct patterns under AI‐supported flipped learning. This study involved 154 junior students from a normal university, including an experimental group ( n = 87) and a control group ( n = 67), who were taught by the same instructor over an 11‐week period. Quantitative data from pretest and posttest scores and self‑report scales were analysed using t ‐tests and ANCOVA, whereas qualitative interview data from 10 experimental group students were analysed using Epistemic Network Analysis to compare collaboration and self‑regulated learning patterns across prior knowledge groups. The results showed that, compared to the control group, the experimental group demonstrated significantly higher posttest scores in collaboration, self‐regulated learning and academic performance. Within the experimental group, students with higher levels of AI chatbot interaction also significantly outperformed those with lower interaction levels in academic performance. Further, Epistemic Network Analysis results revealed that in AI chatbot‑supported flipped learning, students with lower prior knowledge exhibited denser collaboration networks, requiring more cognitive input and more frequent dimension switching to coordinate collaborative processes. In contrast, students with higher prior knowledge demonstrated stronger connections between the seeking, engaging and reflecting dimensions in their self‐regulated learning networks, reflecting more integrated self‐regulatory behaviour. This study provides empirical support for mastery learning theory and demonstrates the effectiveness of AI chatbot‐supported cooperative‐flipped classrooms, offering implications for differentiated teaching based on students' prior knowledge levels. Flipped classrooms are associated with improvements in students' self‐regulated learning, motivation and academic performance compared with traditional instruction. Group cooperation during pre‐class activities can enhance peer interaction and collaboration, but is often constrained by uneven participation and limited instructional support. AI chatbots have been applied as learning assistants in higher education to provide feedback and learning resources, yet their role in structured pre‐class group cooperation remains insufficiently examined. AI chatbot‐supported cooperative‐flipped classrooms significantly enhance students' collaboration, self‐regulated learning and academic performance compared with traditional group‐based flipped learning. Epistemic network analysis shows that students with different levels of prior knowledge exhibit distinct collaboration and self‐regulation patterns when supported by an AI chatbot. The findings demonstrate that AI chatbots can function as mastery‐oriented scaffolds by guiding task division, clarifying learning goals and supporting feedback during pre‐class group discussions, thereby strengthening students' readiness for subsequent in‐class learning. Practitioners are encouraged to integrate AI chatbots into pre‐class group discussions to provide structured guidance, timely feedback and support for collaborative knowledge construction. Instructional support should be differentiated by prior knowledge: learners with lower prior knowledge benefit from clearer goals and stronger cognitive scaffolding, whereas higher‐achieving learners benefit from tasks emphasizing integration, reflection and assessment. For large‐scale or resource‐constrained teaching contexts, AI chatbot‐supported cooperative‐flipped classrooms offer a scalable approach to implementing mastery learning and differentiated instruction in technology‐enhanced pedagogy.</t>
  </si>
  <si>
    <t xml:space="preserve">R081</t>
  </si>
  <si>
    <t xml:space="preserve">The Generative AI Conversation Hub of the University: Positioning Reflection and Skill-Building in the Daily Work of Library Practitioners</t>
  </si>
  <si>
    <t xml:space="preserve">Journal of Library Administration</t>
  </si>
  <si>
    <t xml:space="preserve">Abstract Generative artificial intelligence (AI) has contributed to vigorous and diverse discourses since emerging as a disruptor to higher education in late 2022. The University Library, as part of this educational ecosystem, plays a key role in supporting staff and students to navigate a world where generative AI exists. As members of the Western Sydney University Library Generative AI Working Group adopting the role of reflective practitioners, our insights on developing and evaluating our Program of Work are detailed alongside critical analysis on how academic libraries have managed technological disruption in the past and actively encouraged skill-building for staff. We identify similarities and differences in professional development for library practitioners in the generative AI era compared to previous technological disruptions. Similarities include the need for a coordinated and collaborative approach that is not just prescriptive but actively encourages staff to shape their own learning. While differences include using a technology that is contentious in higher education, particularly through the lens of ethical practice. By framing the Library as the “Generative AI Conversation Hub of the University” we propose how we explore this contention, and ensure the Library is best-placed to lead the university in the critical discussion of Generative AI.</t>
  </si>
  <si>
    <t xml:space="preserve">R327</t>
  </si>
  <si>
    <t xml:space="preserve">ORGANIZATION OF STUDENTS' INDEPENDENT WORK USING ARTIFICIAL INTELLIGENCE FOR PERSONALIZED LEARNING</t>
  </si>
  <si>
    <t xml:space="preserve">SCIENTIFIC BULLETIN OF FLIGHT ACADEMY. Section: Pedagogical Sciences</t>
  </si>
  <si>
    <t xml:space="preserve">Annotation. This article explores the challenge of organizing independent work for higher education students within the context of the digital transformation of the educational process. The topic's relevance stems from the need to find new student-centered approaches that address the challenges associated with the widespread adoption of artificial intelligence (AI) and necessitate a fundamental shift in the instructor's role from a knowledge transmitter to a facilitator. The aim of the article is to define and scientifically substantiate the directions for organizing students' independent work using AI tools under the facilitative guidance of an instructor. To achieve this aim, the following research methods were employed: theoretical analysis of scientific literature and regulatory documents in education and digital technologies; comparative analysis of traditional and innovative approaches to independent work; generalization; and modeling of learning situations and tasks. The study substantiates three main directions for organizing independent work with AI: 1) individualization of content and construction of adaptive educational trajectories using intelligent learning platforms; 2) facilitation of self-organization and reflection skills through the use of AI assistants and personalized knowledge bases, such as NotebookLM; 3) development of critical thinking and academic integrity by designing new types of assignments that involve the integrated use of generative AI models. The article provides specific examples of tasks and tools for each direction. Special attention is given to the ethical use of AI, particularly the necessity of declaring its application, and to the development of adequate assessment criteria shifted from evaluating information reproduction to assessing the value-added by the student, including their prompt engineering skills. The conclusions confirm that the proposed approach enhances student autonomy, develops their metacognitive skills, and creates conditions for deep, meaningful learning. The prospect for further scientific inquiry lies in conducting an empirical study on the effectiveness of the described directions and developing methodological recommendations for instructors based on its findings. Keywords: artificial intelligence, independent work, personalized learning, instructor-facilitator, higher education, assessment criteria, academic integrity, prompt engineering, higher education student.</t>
  </si>
  <si>
    <t xml:space="preserve">R020</t>
  </si>
  <si>
    <t xml:space="preserve">Intelligence Artificial Generative and Literacy Social; Exploration Involvement Critical Student in Understand Problem Social Culture Student</t>
  </si>
  <si>
    <t xml:space="preserve">Journal of education studies</t>
  </si>
  <si>
    <t xml:space="preserve">Development Generative Artificial Intelligence (GenAI) has change method student obtaining and processing information, but its utilization in Sociology Education learning Not yet fully directed at strengthening literacy social and engagement critical in understand problem social culture. Previous studies more Lots discuss GenAI effectiveness, achievements learning, AI literacy, and integrity academic, while studies that explore How student using GenAI to interpret problem social culture through perspective sociological and contextual wisdom local Still limited. Research This aim analyze GenAI utilization and exploring form involvement critical Sociology Education student at Nggusuwaru University in understand problem social culture. Research use approach qualitative descriptive with involving 12 students and 3 lecturers as selected informants? in a way purposive. Data collected through interviews, observations, and documentation as well as analyzed using the interactive model of Miles, Huberman, and Saldaña. The results of the study conclude that GenAI is utilized For exploration information, understanding concepts and theories sociology, research perspective alternatives, as well as development of academic ideas. Involvement critical student formed through five processes, namely exploration, verification, evaluation, contextualization, and reflection. Students compare GenAI output with source scientific, reality social culture, theory sociology, and values Maja Labo Dahu. Research produce the concept of “AI-assisted but human-led social learning”, which positions GenAI as tool help exploration, while student still become actor main in evaluation, interpretation, and meaning social. Findings This confirm importance GenAI's critical, contextual, and reflective learning in Sociology of Education</t>
  </si>
  <si>
    <t xml:space="preserve">R205</t>
  </si>
  <si>
    <t xml:space="preserve">Constructivist pedagogy and student engagement: facilitating active learning through guided milestone-driven GAI prompts</t>
  </si>
  <si>
    <t xml:space="preserve">International Conference on Artificial Intelligence in Education</t>
  </si>
  <si>
    <t xml:space="preserve">Generative AI (GAI) refers to a class of artificial intelligence models that create new content by learning patterns from large data sets. This study investigates how guided, milestone-driven GAI prompts, embedded within a constructivist learning framework, influence student engagement, critical thinking and writing development in asynchronous higher education courses. Using a case study design, the research examines two online business courses (one undergraduate and one postgraduate) at a mid-sized US university. Students completed a five-milestone term paper supported by instructor-designed GAI prompts. Data were collected through a 20-item end-of-semester survey comprising closed- and open-ended questions. Quantitative responses were analyzed using frequency and percentage analysis, while qualitative responses underwent inductive thematic analysis and comparative analysis between courses and between undergraduate and postgraduate. Among 29 respondents, 93.1% reported that GAI prompts supported their thinking and writing processes, with most indicating enhanced critical thinking (79.3%) and improved final paper quality (89.7%). Qualitative findings highlight GAI’s role in reducing writing anxiety, promoting perspective-taking, and fostering metacognitive reflection. Although improvements in instructor-assessed grades were not always immediate, student reflections suggested deeper cognitive engagement and iterative learning consistent with constructivist pedagogy. Findings are limited by sample size, reliance on self-reported data and the absence of a control group. Future research should explore longitudinal impacts and cross-disciplinary applications. Thoughtful GAI integration can promote equitable, learner-centered instructional design and strengthen students’ ethical and professional use of AI tools. This study provides one of the first empirical examinations of structured GAI integration within a constructivist, milestone-based writing assignment. It advances understanding of how GAI can operate as a cognitive scaffold that supports learner agency and academic development in online learning environments.</t>
  </si>
  <si>
    <t xml:space="preserve">R557</t>
  </si>
  <si>
    <t xml:space="preserve">Predicting higher education students' continued intention and self-reported use of generative AI tools in academic work: An extended UTAUT mixed-methods study.</t>
  </si>
  <si>
    <t xml:space="preserve">Acta Psychologica</t>
  </si>
  <si>
    <t xml:space="preserve">This study investigated the factors shaping Chinese higher education students' continued intention and self-reported use of generative artificial intelligence (GenAI) tools in academic work. Drawing on an extended Unified Theory of Acceptance and Use of Technology (UTAUT) model, the study examined the roles of performance expectancy, effort expectancy, social influence, facilitating conditions, behavioural intention, use behaviour, and perceived knowledge. An explanatory sequential mixed-methods design was adopted. In the quantitative phase, survey data from 580 university students were analysed using structural equation modelling. In the qualitative phase, follow-up semi-structured interviews were conducted to explain and elaborate on the quantitative findings. The results showed that performance expectancy, social influence, and perceived knowledge significantly predicted students' behavioural intention to use GenAI, while facilitating conditions and behavioural intention were associated with self-reported use behaviour. Effort expectancy did not significantly predict behavioural intention, suggesting that ease of use alone may be insufficient to explain continued GenAI use among students who already perceive such tools as accessible. Interview findings further indicated that students used GenAI mainly for brainstorming, proofreading, explanation, and problem-solving, but they also expressed concerns about over-reliance, academic integrity, and the reliability of AI-generated content. The study contributes to GenAI continued-use research by showing that students' use of GenAI in academic contexts is shaped by expected usefulness, social influence, and their perceived knowledge of how to use and evaluate AI outputs. Practical implications are provided for designing AI literacy training, classroom guidance, and institutional policies for responsible GenAI use.</t>
  </si>
  <si>
    <t xml:space="preserve">R067</t>
  </si>
  <si>
    <t xml:space="preserve">Enhancing self-regulated learning and learning experience in generative AI environments: The critical role of metacognitive support</t>
  </si>
  <si>
    <t xml:space="preserve">The rapid development of generative artificial intelligence (GenAI) has brought opportunities and new challenges to higher education. Students need a high level of self‐regulated learning to adapt to this change. However, it is difficult for students to persist in self‐regulation without guidance. Metacognitive support has a significant advantage in enhancing self‐regulated learning, but fewer studies have explored the effects of its role in GenAI environments. The purpose of this study was to investigate the impacts of metacognitive support on college students' self‐regulated learning and learning experiences in a GenAI environment. A quasi‐experiment was designed in which 68 college students were divided into two groups. The experimental group (N = 35) received explicit metacognitive support, while the control group (N = 33) did not receive any metacognitive prompts. The experiment lasted 4 weeks. The study measured students' academic performance, self‐regulated learning ability and learning experiences (including cognitive load and technology acceptance). The results indicate that in the GenAI environment, metacognitive support, while not producing significant between‐group differences in achievement, enhances students' self‐regulated learning abilities particularly in terms of task strategy and self‐evaluation, as well as optimizing their learning experience. The study also found that students were at risk of decreasing their level of self‐regulated learning if they lacked metacognitive support in the GenAI environment. The conclusion points out that GenAI supports learners to accomplish learning tasks while potentially reducing self‐regulated learning effectiveness, and that metacognitive support is key to supporting effective regulation in learners' GenAI environments. This study provides an important theoretical and practical basis for how to better support learners' learning in GenAI environments. What is already known about this topic SRL is vital for effective learning in digital environments. Generative AI tools, like ChatGPT, can enhance learning but require support. Learners often struggle to apply SRL strategies without guidance. What this paper adds Metacognitive support improves SRL in Generative AI environments. It reduces cognitive load and increases the perceived usefulness of AI tools. Structured support leads to better academic outcomes. Implications for practice and/or policy Teachers should integrate metacognitive support when using AI tools. Teacher training should focus on SRL strategies in tech‐rich settings. Policies should promote ethical and effective AI use in education.</t>
  </si>
  <si>
    <t xml:space="preserve">R593</t>
  </si>
  <si>
    <t xml:space="preserve">GENERATIVE AI IN EFL LEARNING: ATTITUDES OF CZECH AND SLOVAK STUDENTS AT THE TERTIARY LEVEL</t>
  </si>
  <si>
    <t xml:space="preserve">Advances in Education</t>
  </si>
  <si>
    <t xml:space="preserve">This paper aims to provide a comprehensive examination of the perceptions of Czech and Slovak English as a Foreign Language (EFL) learners regarding the integration of generative AI (artificial intelligence) tools into their English language learning process. The research method used in this study was a self-report questionnaire with a Likert scale. It included three types of statements: general generative AI, English language generative AI, and challenges-related generative AI statements. Through a rigorous quantitative analysis of survey data performed in the open-source application for statistical calculations JASP, the study elucidates that the research participants, who comprised Czech and Slovak university EFL students, predominantly regard generative AI as a transformative, time-efficient, and impactful educational resource that significantly enhances their learning experiences, promotes autonomy, and facilitates overall language development. Despite acknowledging these benefits, participants express concerns about the potential challenges, especially the risk of providing inaccurate responses, its possible influence on critical thinking or creativity, as well as feedback quality compared to traditional teacher guidance, or its underuse for the development of speaking and pronunciation. Interestingly, the study suggests statistically significant disparities between Czech and Slovak students in two respects: their perceptions of the emotional and empathetic limitations of generative AI tools (p-value = 0.022) and their approach to pronunciation practice (p-value = 0.035), with Slovak learners scoring higher on both. These findings reveal a complex landscape of attitudes; while many students enthusiastically embrace generative AI as an invaluable asset, others show reluctance to fully commit, highlighting a pressing need for deeper investigation into the factors that influence their willingness to engage with AI technologies in education. This study not only enriches the discourse on the pedagogical implications of generative AI but also emphasises the need to address the inherent challenges it poses to maximise its potential for language learning.</t>
  </si>
  <si>
    <t xml:space="preserve">R093</t>
  </si>
  <si>
    <t xml:space="preserve">Beyond AI Literacy: The CAIT-TNE Framework for Critical AI Thinking in UK-China Transnational Education</t>
  </si>
  <si>
    <t xml:space="preserve">2026 4th UK-China Teaching, Learning, and Educational Technology (TILE-TEC)</t>
  </si>
  <si>
    <t xml:space="preserve">The rapid integration of Generative AI (GenAI) tools into transnational higher education presents both significant learning opportunities and serious pedagogical risks. Empirical evidence links unstructured AI use to cognitive offloading and measurable declines in students’ critical thinking capabilities. These risks are especially pronounced in Transnational Education (TNE) settings, particularly UK-China collaborative undergraduate programmes, where students must simultaneously navigate second-language academic demands, dual-cultural expectations, elevated cognitive load, and divergent regulatory frameworks. Although existing AI literacy frameworks offer a valuable foundation, they were predominantly developed within Western, single-language institutional contexts and do not fully address the cross-cultural and dual-regulatory conditions that define Sino-British higher education. This paper introduces CAIT-TNE, Critical AI Thinking in Transnational Education, as a contextually grounded framework defined as the capacity to evaluate, question, and contextualise AI-generated content through technical understanding, ethical reasoning, and domain-specific knowledge. Drawing on critical literature synthesis and practitioner reflection situated within UK-China TNE undergraduate teaching, the paper examines three mutually dependent dimensions: educator readiness, curriculum integration, and ethical governance. It argues that effective AI pedagogy in TNE must position GenAI tools as subjects of critical enquiry rather than substitutes for learning. The paper concludes with practical implications for TNE programme directors, educators, and quality assurance bodies operating across bilateral educational partnerships.</t>
  </si>
  <si>
    <t xml:space="preserve">R358</t>
  </si>
  <si>
    <t xml:space="preserve">AI-assisted Socratic Questioning for Formal Proof Competence in Plane Geometry: A Literature Review</t>
  </si>
  <si>
    <t xml:space="preserve">Jurnal Pembelajaran Bimbingan dan Pengelolaan Pendidikan</t>
  </si>
  <si>
    <t xml:space="preserve">Formal proof is at the heart of university-level plane geometry because it requires students to build deductively valid arguments based on definitions, theorems, and known results, rather than visual observation or intuition. However, students often struggle to justify inferential steps, while generative artificial intelligence can provide fluent proofs before learners examine diagrams, check theorem conditions, or construct their own reasoning. This conceptual article proposes a Warrant-Seeking Socratic AI Framework for supporting formal proof learning in plane geometry. Literature was searched in Scopus, Web of Science, ERIC, and Google Scholar from March 15 to May 21, 2026, using terms related to formal proof, geometry, Socratic questioning, and artificial intelligence. Of 72 records identified, 14 duplicates were removed, leaving 58 sources for screening, full-text assessment, and narrative synthesis. Sources were synthesized by identifying recurring pedagogical and epistemic functions related to proof construction, questioning, AI interaction, and validation. Based on the synthesis: problem orientation, conjecture articulation, theorem-condition analysis, inferential construction, proof validation, and metacognitive reflection, a six-phase recursive model is proposed. The framework positions AI as an epistemic interviewer rather than a proof generator, prompting students to distinguish visual conjectures from warranted claims, examine theorem conditions, justify inferential steps, and retain ownership of their proofs. The synthesis distinguishes evidence directly related to geometry and mathematical proving from findings extrapolated from broader educational contexts. The framework is therefore a theoretically grounded proposition rather than an empirically validated model, and its effectiveness remains to be established through future empirical research.</t>
  </si>
  <si>
    <t xml:space="preserve">R543</t>
  </si>
  <si>
    <t xml:space="preserve">Exploring Absolute Value Inequalities: Analysis of Solutions and Misconceptions among Undergraduate Students Utilizing ChatGPT</t>
  </si>
  <si>
    <t xml:space="preserve">Jurnal Didaktik Matematika</t>
  </si>
  <si>
    <t xml:space="preserve">Understanding the misconceptions of first-year undergraduate students in solving inequality problems is crucial in the era of AI-assisted learning. This study aims to identify and analyze the types of misconceptions that students exhibit when solving inequality problems using ChatGPT, employing Newman’s framework as the analytical lens. A qualitative approach with a collective case study design was adopted to explore the complexity of misconception phenomena within human-AI interaction. Four first-year undergraduate students were selected through purposive sampling to represent diverse characteristics and challenges in mathematical problem solving. Data were collected through task-based interviews guided by semi structured interview protocols and a set of inequality problems. Data validity was ensured through triangulation by comparing responses both within and across participants. The findings revealed seven categories of misconceptions, namely misinterpreting the direction of inequality, inconsistent sign changes, confusion in combining like terms, incomplete understanding of absolute value, misunderstanding of graphical representation, lack of attention to cases, and neglecting to verify solutions. Overall, this study highlights the diverse patterns of misconceptions emerging from student and AI interactions. The results provide important insights for mathematics education and contribute to the development of AI-based learning strategies that enhance reflective thinking and metacognitive awareness, helping students strengthen their reasoning and conceptual understanding in mathematical problem solving.</t>
  </si>
  <si>
    <t xml:space="preserve">R534</t>
  </si>
  <si>
    <t xml:space="preserve">An Analysis of Creativity Changes in a University General Education Course Integrating Generative AI–Based Collaborative Learning and the Future Problem Solving (FPS) Model</t>
  </si>
  <si>
    <t xml:space="preserve">The Korean Association For Thinking Development</t>
  </si>
  <si>
    <t xml:space="preserve">The purpose of this study was to design and implement a liberal arts course, Creativity and Future Problem Solving, by integrating generative artificial intelligence (AI) tools with the Future Problem Solving (FPS) model, and to examine the educational effects of AI-assisted collaborative learning on undergraduate students’ creativity. The Future Problem Solving course was developed based on the ADDIE model, and a comparison group (learner-centered instruction) and an experimental group (AI-assisted collaborative learning) were formed with 49 undergraduate students at S University. Creative future scenarios, FPS booklets, and individual reflection journals produced during the course were analyzed using qualitative content analysis following the preparation–organization–reporting procedure proposed by Elo and Kyngäs (2007), and were deductively coded according to the Creative Product Semantic Scale (CPSS) across the dimensions of novelty, resolution, elaboration, and synthesis. The results showed that the experimental group demonstrated higher levels of novelty by integrating issues such as climate change, food systems, digital administration, technological monopolies, and citizenship into a systemic framework spanning urban, national, and global levels. Across FPS Steps 1–5, problems were defined at structural and institutional levels, leading to enhanced resolution through multi-layered solution strategies and value-oriented evaluative criteria. At Step 6, integrated action plans were developed, demonstrating strong elaboration and synthesis. Reflection journals and course evaluations indicated positive responses to the participatory and experiential nature of the course, alongside perceived challenges related to task difficulty and team participation. These findings suggest that generative AI, when used as a collaborative cognitive partner rather than a substitute for thinking, can enhance the effectiveness of FPS-based creativity education.</t>
  </si>
  <si>
    <t xml:space="preserve">R367</t>
  </si>
  <si>
    <t xml:space="preserve">Socratic Mind: Impact of a Novel GenAI-Powered Assessment Tool on Student Learning and Higher-Order Thinking</t>
  </si>
  <si>
    <t xml:space="preserve">Technology, Knowledge and Learning</t>
  </si>
  <si>
    <t xml:space="preserve">This study examines the impact of a Generative Artificial Intelligence (GenAI)-powered formative assessment tool that employs Socratic questioning to support student learning in a large, fully online undergraduate-level computing course. Employing a quasi-experimental, mixed-methods design, we investigated participants’ engagement patterns, the influence of user experience on engagement, and impacts on both perceived and actual learning outcomes. Data were collected from the system logs, surveys on user experience and perceived engagement and learning gains, student reflections, and course performance data. Results indicated that participants consistently reported high levels of affective, behavioral, and cognitive engagement and these were strongly linked to positive user experiences and perceived learning outcomes. Quantitative analysis further revealed that students who engaged with the GenAI tool experienced significant gains in their quiz scores compared to those who did not, particularly benefiting students with lower baseline achievement. Additionally, thematic analysis of qualitative feedback revealed substantial perceived improvements in higher-order thinking skills, including problem-solving, critical thinking, and self-reflection. Our findings highlight the promise of AI-mediated dialogue in fostering deeper engagement and higher-order cognitive skills. As higher education institutions expand GenAI integration in curriculum, this dialogic, GenAI-powered assessment tool can offer a scalable strategy to promote students’ meaningful learning outcomes.</t>
  </si>
  <si>
    <t xml:space="preserve">R422</t>
  </si>
  <si>
    <t xml:space="preserve">THE RELATIONSHIP BETWEEN HUMAN COGNITION, SPEECH PERCEPTION, AND AI TECHNOLOGIES</t>
  </si>
  <si>
    <t xml:space="preserve">Central Asian Journal of Academic Research</t>
  </si>
  <si>
    <t xml:space="preserve">The rapid development of artificial intelligence (AI) has transformed the ways in which language is generated, processed, interpreted, and used in educational communication. This article examines human speech and language perception from a psycholinguistic perspective, focusing on the cognitive mechanisms underlying speech production, comprehension, contextual interpretation, and meaning construction. It compares major principles of human linguistic activity with the text-generation capabilities of large language models and discusses the implications of AI-assisted communication for higher education. Particular attention is given to critical thinking, independent writing, cognitive engagement, linguistic competence, and academic integrity. The study employs a theoretical and analytical methodology based on established psycholinguistic theories and international guidance on generative AI in education. It argues that AI-generated linguistic output should not automatically be equated with human understanding and that educational applications should be designed to support rather than replace learners’ cognitive and communicative activities.</t>
  </si>
  <si>
    <t xml:space="preserve">R533</t>
  </si>
  <si>
    <t xml:space="preserve">SYNERGY OF GENERATIVE ARTIFICIAL INTELLIGENCE AND MOBILE LEARNING: A DYNAMIC MODEL FOR THE CONCEPTUAL TRANSFORMATION OF EDUCATIONAL PROCESSES</t>
  </si>
  <si>
    <t xml:space="preserve">Educational Analytics of Ukraine</t>
  </si>
  <si>
    <t xml:space="preserve">The purpose of this article is to theoretically substantiate the transformation of mobile learning under the influence of generative artificial intelligence (GenAI) and to develop a conceptual dynamic model for integrating mobile AI tools into contemporary educational practice. The study examines the shift of the smartphone’s role from a content consumption device to an active cognitive learning tool in conditions of ubiquitous access to generative language models. Based on an analysis of current research, analytical data on students’ use of mobile AI tools in 2025, and the generalization of pedagogical experience, the study identifies the risks of a "new digital divide" caused by unequal access to methodologically supported AI-enhanced learning. It is shown that a significant proportion of students either use AI tools spontaneously or remain excluded from AI-supported learning due to the lack of pedagogical guidance. The article presents an original dynamic model, M-AI-L (Mobile-AI-Learning), grounded in the principles of connectivism, distributed cognition theory, social constructivism, and heutagogy. The model interprets a mobile device with an AI component as a digital intellectual assistant and describes a sequence of sensory-perceptual perception, differentiated processing of information, critical validation, and reflective knowledge synthesis. Special attention is given to the development of AI literacy, critical thinking, students’ learning agency, and digital resilience, as well as to ethical issues related to the use of generative AI in education. The findings may be used for the modernization of educational programmes and the development of methodological guidelines for implementing mobile GenAI-supported learning in secondary and higher education institutions.</t>
  </si>
  <si>
    <t xml:space="preserve">R171</t>
  </si>
  <si>
    <t xml:space="preserve">AI as ethical and pedagogical mediator in initial teacher education: a case study</t>
  </si>
  <si>
    <t xml:space="preserve">Frontiers in Education</t>
  </si>
  <si>
    <t xml:space="preserve">This study investigates the role of generative artificial intelligence AI as an ethical and pedagogical mediator in the initial training of primary education teachers, particularly in strengthening the family-school relationship. A quasi-experimental intervention was conducted with a single group of 103 students from two Spanish universities, structured into four phases: theoretical instruction, collaborative resolution of practical cases, analysis with AI, and critical reflection. Pre- and post-intervention questionnaires assessed competencies such as critical thinking, creativity, personalized learning, and feedback. Findings indicate that AI was positively perceived for its ability to offer timely guidance, generate customized educational materials, and provide innovative solutions, with scores exceeding 3 out of 4 across all evaluated dimensions. Nonetheless, activities conducted without AI were also appreciated for promoting deeper reflection, empathy, and learner autonomy. The study concludes that AI, when critically and ethically integrated, can serve as a valuable complement in teacher education, bridging academic theory and classroom realities.</t>
  </si>
  <si>
    <t xml:space="preserve">R186</t>
  </si>
  <si>
    <t xml:space="preserve">Integrating Generative AI into Escape Room-Based Learning: Effects on Nursing Students’ Clinical Skills, Flow Experience, and Self-Efficacy</t>
  </si>
  <si>
    <t xml:space="preserve">IEEE International Conference on Consumer Electronics</t>
  </si>
  <si>
    <t xml:space="preserve">The This study investigates the impact of integrating Generative Artificial Intelligence (GenAI) into escape room-based learning on nursing students’ clinical skills, flow experience, and self-efficacy. While escape rooms have proven effective in promoting collaboration and critical thinking in nursing education, their linear structure may limit personalized support. Conversely, GenAI tools such as ChatGPT offer adaptive feedback and individualized guidance but lack the immersive engagement of game-based learning. To address this, we designed a quasi-experimental study involving 47 first-year nursing students from a university in Taiwan. Participants were assigned to either an experimental group (AI-assisted escape room) or a control group (video-based learning). Over four weeks, both groups engaged in sessions focused on breastfeeding skills, with pre- and post-intervention assessments administered using validated instruments. The results revealed statistically significant improvements in clinical performance, self-efficacy, and flow experience for the AI-assisted group compared to the control. These findings suggest that combining GenAI with escape room strategies creates a synergistic learning environment that enhances both cognitive and affective outcomes in nursing education. The study highlights the potential of AI-supported Escape Room learning to foster student-centered, competency-driven instructional models.</t>
  </si>
  <si>
    <t xml:space="preserve">R503</t>
  </si>
  <si>
    <t xml:space="preserve">Mitigation of College Students' Employment Friction and Adverse Selection Risk under the Intervention of Large Language Models: A Mechanism Analysis from the Perspective of Routine-Biased Technological Change</t>
  </si>
  <si>
    <t xml:space="preserve">Frontiers in Educational Research</t>
  </si>
  <si>
    <t xml:space="preserve">: Routine-biased technological change (RBTC) has profoundly restructured the skill premium structure of the labor market, drastically compressed the living space of routine jobs, and thus exposed the structural lag of the traditional college employment guidance system in implicit competency mapping. This paper aims to deconstruct the dual mechanism of large language models (LLMs) in the micro-level employment intervention process. By comparing with the traditional static tutoring model, the study points out that LLMs, relying on their unstructured feature extraction capability, have effectively broken through the job search information barriers of job seekers and realized the paradigm shift from "typesetting polishing" to "dynamic semantic mapping". However, in practical application scenarios, the underlying alignment mechanism and text generation logic of algorithms can easily strip job seekers of their real practical baselines, inducing the risks of "ability falsification" and Akerlof's adverse selection in the labor market. To this end, this paper proposes that a high-fidelity dynamic game confrontation mechanism must be introduced into the intelligent empowerment framework, and the negative backlash of text "overstepping reconstruction" should be blocked through cognitive load limit testing, so as to provide a theoretical framework for the development of intelligent employment assistance systems with anti-reverse dependence attributes.</t>
  </si>
  <si>
    <t xml:space="preserve">R463</t>
  </si>
  <si>
    <t xml:space="preserve">Scaffolded GenAI in Higher Education Academic Writing: An Exploratory Mixed-Methods Study of Self-Regulated Intercultural Learning</t>
  </si>
  <si>
    <t xml:space="preserve">International Journal of English Linguistics</t>
  </si>
  <si>
    <t xml:space="preserve">Scaffolded generative AI (GenAI) in higher education academic writing has attracted growing scholarly attention, yet empirical evidence remains limited regarding its effects on self-regulated intercultural learning (SRIL). This exploratory mixed-methods quasi-experimental study examined how scaffolded integration of a generative AI tool (QuillBot) influenced SRIL among first-year university EFL students. Ninety-two learners participated in a six-week academic writing intervention comparing a scaffolded-AI instructional condition with a non-AI control condition. Pre-intervention quantitative data indicated widespread familiarity with GenAI tools but predominantly performance-centered engagement, characterized by intensive use during drafting and revising, high cognitive offloading, and only moderate self-regulation, intercultural engagement, and ethical–integrity AI engagement (EIAE). Qualitative analyses of interviews, reflective worksheets, writing artefacts, and instructor fieldnotes demonstrated that scaffolded AI mediation supported deeper planning, strategic feedback integration, reflective revision, intercultural interpretation, and ethical judgement. Learners in the scaffolded-AI condition produced denser and more nuanced evidence of SRIL than those receiving traditional instruction. The results indicate that GenAI supports SRIL not through availability alone, but through instructional mediation that transforms AI use from procedural reliance into regulated, reflective, and ethically grounded academic writing practice. The study contributes empirical grounding for SRIL as an integrative pedagogical framework linking self-regulated learning (SRL), intercultural competence (IC), ethical AI engagement, and cognitive offloading, and highlights the central role of scaffolded instructional design in AI-mediated higher education writing contexts.</t>
  </si>
  <si>
    <t xml:space="preserve">R517</t>
  </si>
  <si>
    <t xml:space="preserve">Understanding university students’ AI ethical decision-making in academic contexts: a SOR - social cognitive perspective</t>
  </si>
  <si>
    <t xml:space="preserve">Frontiers in Psychology</t>
  </si>
  <si>
    <t xml:space="preserve">Introduction The integration of generative artificial intelligence into higher education has reshaped students’ academic practices and blurred normative boundaries around academic integrity. While prior research has focused mainly on attitudes and usage intentions, limited attention has been paid to students’ AI ethical decision-making in academic scenarios and its psychological mechanisms. This study examined the associations among AI ethics guidance, academic ethics course experience, moral cognition, cognitive complexity, and AI ethical decision-making. It tested whether moral cognition mediated the relationships between normative inputs and AI ethical decision-making and whether cognitive complexity strengthened these relationships. The study integrated the Stimulus–Organism–Response framework with Social Cognitive Theory and combined net-effect, configurational, and importance–performance analyses. Methods Survey data were collected from 1,106 undergraduates at Chinese universities. Partial least squares structural equation modeling was used to test direct, mediating, and moderating relationships, complemented by fuzzy-set qualitative comparative analysis to identify configurational pathways to high AI ethical decision-making. Importance–performance matrix analysis identified intervention priorities. Results AI ethics guidance (β = 0.334, p &lt; 0.001) and academic ethics course experience (β = 0.336, p &lt; 0.001) were positively associated with AI ethical decision-making. Both normative inputs were positively associated with moral cognition (β = 0.479 and 0.280, respectively; p &lt; 0.001), which was positively associated with AI ethical decision-making (β = 0.215, p &lt; 0.001). Significant indirect relationships were identified through moral cognition (indirect β = 0.103 and 0.060; p &lt; 0.001). Cognitive complexity strengthened the relationships between the two normative inputs and AI ethical decision-making (β = 0.077 and 0.073; p &lt; 0.05). The model explained 66.3% of the variance in AI ethical decision-making (R2 = 0.663). fsQCA revealed no single necessary condition; however, AI ethics guidance and academic ethics course experience consistently emerged as core conditions across high-performing configurations (overall consistency = 0.934; coverage = 0.793). Discussion The findings advance academic integrity research by shifting attention from attitudes to scenario-based decision quality and clarifying the internalization mechanism through moral cognition. Practically, they highlight the complementary roles of technological prompts and academic ethics course experience in fostering students’ AI ethical decision-making.</t>
  </si>
  <si>
    <t xml:space="preserve">R283</t>
  </si>
  <si>
    <t xml:space="preserve">RETHINKING LEARNING IN THE AI ERA: THE AIAS FRAMEWORK FOR REFLECTIVE HIGHER EDUCATION</t>
  </si>
  <si>
    <t xml:space="preserve">PUPIL International Journal of Teaching Education and Learning</t>
  </si>
  <si>
    <t xml:space="preserve">The rapid growth of generative Artificial Intelligence (AI) is reshaping how higher education conceptualizes learning, assessment, and pedagogy. Many institutions respond by relying on restrictive policies. Unfortunately, this approach often fails to support meaningful and sustainable education. The objective of this study is to reinterpret the Artificial Intelligence Assessment Scale (AIAS) (Perkins et al., 2024) as a developmental pedagogical framework that enables transparent, ethical, and reflective integration of AI into teaching and learning. Methodologically, the study applies the five-level AIAS model, ranging from AI prohibition to full AI collaboration, in FASH 137: Clothing, Society, and Culture, a General Education course examining the sociocultural meanings of dress. AI integration is scaffolded across multiple assignments, each explicitly aligned with a designated AIAS level. Data are drawn from assignment design, faculty observations, and structured student reflections documenting AI use and learning outcomes. Findings reveal three interrelated pedagogical themes. First, transparency as pedagogical integrity emerges through required “AI Use Notes,” which normalize disclosure and foster academic trust. Second, critical evaluation as human distinction is strengthened as students compare AI-generated insights with their own analyses, reinforcing judgment, creativity, and cultural interpretation. Third, AI as a structured learning partner supports exploration, critique, writing development, and identity reflection without replacing human authorship. The research outcomes demonstrate that AIAS functions effectively as a learning architecture, aligning academic integrity with instructional design. The framework offers a replicable model for fashion programs and other disciplines seeking responsible AI integration. Future research will expand empirical assessment across courses, disciplines, and institutions, examine longitudinal learning impacts, and refine discipline-specific AIAS applications to guide higher education in the AI-driven future.</t>
  </si>
  <si>
    <t xml:space="preserve">R270</t>
  </si>
  <si>
    <t xml:space="preserve">Generative AI Empowering College English Writing Teaching Model Construction, Practical Path, and Effect Evaluation</t>
  </si>
  <si>
    <t xml:space="preserve">Advanced Electromagnetics</t>
  </si>
  <si>
    <t xml:space="preserve">To address persistent problems in college English writing teaching, including low student motivation, delayed teacher feedback, insufficient individualized guidance, and single evaluation methods, this study develops a generative AI-enabled “inspiration-collaboration-internalization” teaching model. The model designs human-computer collaboration across the writing process, including brainstorming, drafting, revising, and reflection. Generative AI is used to provide personalized learning materials, alternative writing perspectives, and timely language feedback, while teachers focus on higher-order guidance involving argument depth, logical coherence, and structural organization. The model further encourages students to gradually reduce dependence on AI support and develop independent writing ability. A multilevel evaluation mechanism combining AI-assisted initial assessment and teacher feedback is established. A one-semester quasi-experiment and mixed-methods evaluation show that the experimental group’s writing score increased more than the control group’s, with gains of 1.65 versus 0.72 points and an effect size of 0.82. Students reported high satisfaction, with M = 4.28, and AI-use frequency decreased as writing competence improved.</t>
  </si>
  <si>
    <t xml:space="preserve">R389</t>
  </si>
  <si>
    <t xml:space="preserve">ГЕНЕРАТИВНИЙ ШТУЧНИЙ ІНТЕЛЕКТ ЯК ЗАСІБ РОЗВИТКУ КРИТИЧНОГО МИСЛЕННЯ СТУДЕНТІВ</t>
  </si>
  <si>
    <t xml:space="preserve">Педагогічна наука і освіта ХХІ століття</t>
  </si>
  <si>
    <t xml:space="preserve">Abstract. This paper presents a comprehensive theoretical and analytical investigation into the integration of generative artificial intelligence (GenAI) tools within the higher education system, specifically examining their profound impact on the development of students' critical thinking skills. The central premise of the study substantiates the argument that GenAI can serve as an effective instrument for epistemic development and cognitive enhancement exclusively under the conditions of a purposeful, highly structured didactic design. Such a design must inherently demand in-depth semantic analysis, cross-comparison of diverse academic sources, metacognitive reflection, and rigorous factual verification from the learners. Conversely, the study provides evidence that the uncontrolled, unreflective, and passive application of GenAI technologies inevitably provokes detrimental psychological and educational phenomena. The research meticulously outlines the concepts of «cognitive offloading», «cognitive debt», and the «confidence paradox», illustrating how excessive trust in the linguistic fluency and syntactic perfection of algorithmic systems paradoxically diminishes students' analytical efforts and promotes severe automation bias. To address these complex challenges, the article thoroughly analyzes a conceptual framework illustrating the dual impact of GenAI (DI-GAI-CT), highlighting the dynamic interplay between cognitive stimulators and inhibitors. Furthermore, it details an iterative «human-in-the-loop» interaction algorithm and a multi-component structure of AI literacy tailored for university students. The research proposes and scientifically justifies four specific, actionable didactic scenarios for classroom implementation: utilizing AI as a «devil's advocate» to challenge student hypotheses, conducting blind peer-reviews of intentionally flawed AI-generated texts, performing pre-mortem analyses of project failures, and dissecting the anatomy of algorithmic hallucinations to combat digital misinformation. Finally, the paper identifies the key pedagogical conditions necessary for the productive application of GenAI. These include a critical shift in assessment paradigms — moving the focus from the final submitted product to the transparent, documented process of its creation — and the establishment of clear institutional policies regarding academic integrity. Ultimately, the research affirms that critical thinking is fostered not in opposition to artificial intelligence, but through a methodically guided, highly reflective, and critical interaction with it.</t>
  </si>
  <si>
    <t xml:space="preserve">R355</t>
  </si>
  <si>
    <t xml:space="preserve">Transcription is not generation: distinguishing non-generative AI tool use from academic misconduct in higher education assessment</t>
  </si>
  <si>
    <t xml:space="preserve">International Journal for Educational Integrity</t>
  </si>
  <si>
    <t xml:space="preserve">Since 2023, universities worldwide have adopted policies restricting or prohibiting the use of generative artificial intelligence (GenAI) in assessed work. In the United Kingdom, the Quality Assurance Agency (QAA) and the Russell Group have issued guidance, and many institutions now operate tiered assessment classification systems. Internationally, An et al. (2025) report that ninety-four per cent of the top fifty US universities (by the ranking used in that study) had issued faculty-facing GenAI guidelines, and Luo (2024) documents broadly similar structures across the world’ s top twenty institutions by QS ranking. This paper argues that such policies frequently lack the technical precision necessary to distinguish between genuinely generative AI use—where a machine produces the assessed intellectual content—and non-generative uses of AI-powered tools, such as optical character recognition (OCR), voice-to-text transcription, and handwriting recognition, where the tool performs a clerical format-conversion function on content the student has already authored. The paper is a conceptual and policy analysis; it advances interpretive arguments and a proposed evidential framework, not empirical findings. Its principal limitations are stated in Section 7.4. This paper develops a principled framework for distinguishing transcription from generation in the context of academic integrity policy. It examines (i) the technical taxonomy of AI capabilities, drawing on the computer science literature on handwritten text recognition (HTR) and the Organisation for Economic Co-operation and Development (OECD) AI taxonomy; (ii) the purposive interpretation of assessment prohibition categories; (iii) a set of operational criteria that decision-makers could apply to identify transcription-only use; (iv) the reported limitations of stylistic heuristics and AI detection tools; and (v) the implications for assessment validity, procedural fairness, and policy design. On the function-based interpretation defended in this paper, faithful transcription of handwritten material into a typeset format is not best characterised as ‘use of generative AI’ within the purpose of assessment-prohibition policies: the function performed is clerical (converting format without altering content) and does not engage the mischief at which those policies are aimed—the outsourcing of intellectual authorship. With respect to detection tools, the peer-reviewed evidence summarised in Section 5 is mixed, and this paper reports it in both directions. Perkins et al. (2024), evaluating Turnitin’ s AI detection feature on twenty-two experimental GPT-4 submissions marked alongside nine hundred and sixty-three genuine student submissions, report that the tool flagged 91 per cent of experimental submissions as containing some AI-generated content—a result the authors characterise as promising—but identified only 54.8 per cent of the AI-generated content within those submissions, and that faculty, even with the Turnitin score visible, formally reported only 54.5 per cent of the submissions through the misconduct process. Liang et al. (2023) report that for AI-generated US college admission essays a single self-edit prompt dropped detection rates across seven widely-used detectors from up to 100 per cent to up to 13 per cent, and for AI-generated scientific abstracts from up to 68 per cent to up to 28 per cent. Weber-Wulff et al. (2023) conclude that none of the fourteen tools they tested was sufficiently reliable for use as sole evidence. The paper argues that this joint performance—tool plus marker, under adversarial conditions that students are not prevented from using—does not, on the evidence cited, support treating detector output as sufficient for a misconduct finding against the balance-of-probabilities standard many institutions adopt. Bias against non-native English writers is documented by Liang et al. (2023) through the perplexity mechanism; the extension of that mechanism to other populations (for example, writers with structured or systematic prose styles) is argued in this paper as a plausible inference from the same mechanism and is flagged as a hypothesis requiring empirical testing, not as an established empirical finding. The paper proposes four operational criteria—fidelity, non-augmentation, traceability, and attestation—as a structured evidential framework that decision-makers could apply; the framework has not been empirically validated and its inter-rater reliability in practice is an open question. Where assessment policies define the prohibition by reference to generative AI function rather than platform identity, the paper argues that sanctioning students for transcription-only use of AI-powered tools is best characterised as policy misapplication on the interpretation defended here, rather than as a proper finding of academic misconduct. On that interpretation, institutions should consider: defining ‘use of generative AI’ by reference to function rather than platform identity; explicitly distinguishing content generation from format conversion; adopting the operational criteria proposed in Section 4; and requiring validated evidential methods before imposing sanctions. The paper does not claim to have empirically tested these proposals; it sets out an agenda for such testing in Section 7.4.</t>
  </si>
  <si>
    <t xml:space="preserve">R303</t>
  </si>
  <si>
    <t xml:space="preserve">Exploring AI-Assisted Education Methods for Creating Traditional Vocal Music Content : Focusing on the Design of a 15-Week Pansori-Centered Course Plan</t>
  </si>
  <si>
    <t xml:space="preserve">The Korean Society of Human and Nature</t>
  </si>
  <si>
    <t xml:space="preserve">This study aims to explore educational methods for creating traditional vocal music content using AI and to concretize them into an analytical framework and a 15-week course plan applicable to university-level education for traditional vocal music majors. Traditional vocal music education has long transmitted vocal timbre, breathing, rhythmic cycles, lyrics, and sigimsae through oral transmission and imitative learning. While this mode of education has played an important role in preserving the original form and stylistic identity of tradition, recent changes in the digital media environment and arts education require a new educational approach that enables learners to analyze the musical grammar of tradition and expand it into contemporary creative content. To this end, this study employs a qualitative research method centered on literature review and pedagogical design. It examines the characteristics of traditional vocal music education, the concept of creative traditional vocal music content, the educational possibilities of AI in music and gugak education, hybrid intelligence, and process-oriented assessment. Based on these discussions, the study identifies five components of creative traditional vocal music content: lyrics, rhythmic cycles, melody and sigimsae, vocal timbre and expression, and content media. It also classifies AI utilization into five functions: analysis, generation, visualization, editing, and reflection. By integrating these elements, the study proposes a cyclical framework consisting of “analysis of traditional vocal music elements-AI-based creative support-learner-centered reconstruction-content production-process-oriented reflection.” The central argument of this study is that AI should not be positioned as the subject of creation, but as an educational scaffold that supports learners’ analysis, reconstruction, production, and reflection. Generative AI can provide lyric drafts, creative ideas, content plans, visualization materials, and editing assistance. However, it cannot ultimately judge the vocal timbre, imyeon, rhythmic breathing, word-rhythm alignment, sigimsae, balim, and artistic completeness of traditional vocal music. Therefore, the key issue in AI-assisted traditional vocal music education is not what AI can generate, but whether learners can critically examine AI-generated results according to the musical grammar of traditional vocal music and reconstruct them through their own vocal expression and interpretation. This study presents pansori as the central case for applying the proposed framework. It suggests a process in which AI-generated results are critically reviewed, revised, and reconstructed according to the criteria of rhythmic cycles, word-rhythm alignment, imyeon, linguistic style, vocal timbre, and balim. On this basis, the study designs a 15-week course plan for university students majoring in traditional vocal music. The course consists of understanding creative traditional vocal music content and AI literacy, analyzing lyrics, rhythmic cycles, melody, sigimsae, and vocal timbre, experimenting with AI-assisted creation and prompt design, reconstructing creative works and producing content, and presenting, receiving feedback, and reflecting on the final outcome. The significance of this study lies in its proposal of an educational model that does not confine traditional vocal music education to transmission-centered practical training, but expands the musical grammar of tradition into contemporary creative content. By distinguishing the roles of AI and the instructor, this study emphasizes that the instructor’s professional judgment and learners’ creative subjectivity remain central in AI-assisted traditional vocal music education. However, this study is limited in that it does not empirically verify the educational effects of the proposed course plan through actual classroom implementation.</t>
  </si>
  <si>
    <t xml:space="preserve">R083</t>
  </si>
  <si>
    <t xml:space="preserve">Beyond Generic Feedback: Personalized Generative-AI to Support Calibration and Performance</t>
  </si>
  <si>
    <t xml:space="preserve">International Journal of Information and Education Technology</t>
  </si>
  <si>
    <t xml:space="preserve">Generative Artificial Intelligence (GenAI) opens new possibilities for formative assessment, yet most existing systems still provide generic, task-focused comments that say little about how students manage uncertainty. This exploratory pilot study examined the feasibility of an indicator-informed GenAI workflow that combines Degree of Certainty (DC)-based assessment with course-grounded feedback in a Master’s-level Artificial Intelligence course. Over one semester, 23 students completed five formative DC-enhanced multiple-choice assessments and one summative assessment. A Python-based engine computed cognitive performance (Percentage of Correct Responses (TRC)) and four calibration indicators: Realism/Calibration (REAL), Overestimation (SUR_EST), Underestimation (SOU_EST), and Net Bias (CENTR). These indicators, together with item-level responses and instructor-approved course documents, were fed into a GPT-4 module through a structured prompt and a canonical JavaScript Object Notation (JSON) template specifying six feedback cases (correct/incorrect × low/medium/high certainty). For each assessment, the system generated item-level explanations and a metacognitive synthesis report, which the instructor reviewed before release. Students also completed a perception questionnaire covering usefulness, clarity, trust, intention to use, cognitive load, and self-efficacy. Results showed higher TRC and REAL, lower SUR_EST and CENTR, and stable SOU_EST within an a priori equivalence margin. Perceptions were neutral to slightly positive, with reliable subscales and associations suggesting that perceived clarity and intention to use were linked to more favorable trajectories in performance and calibration. Given the small sample, single-course context, and absence of a control group, these findings remain hypothesis-generating. They nonetheless support the feasibility of indicator-informed, course-grounded GenAI feedback for fostering more realistic confidence judgments and self-regulated learning in higher education.</t>
  </si>
  <si>
    <t xml:space="preserve">R046</t>
  </si>
  <si>
    <t xml:space="preserve">Performance of large language models and prompt engineering strategies for data extraction in systematic reviews</t>
  </si>
  <si>
    <t xml:space="preserve">Frontiers in Digital Health</t>
  </si>
  <si>
    <t xml:space="preserve">Background Systematic reviews depend on manual data extraction and synthesis, which are time-consuming and prone to human error. Although large language models (LLMs) have the potential to automate parts of this process, their accuracy, reproducibility, and efficiency across different models and prompt strategies remain insufficiently characterized. Methods This study evaluated the performance of three LLMs, including ChatGPT-4o, Claude 3 Sonnet, and Gemini 1.5 Pro, for data extraction from trials addressing five clinical questions (CQs) in the Japanese Clinical Practice Guidelines for the Management of Sepsis and Septic Shock 2024 (J-SSCG 2024). Using portable document format files of eligible studies, LLMs extracted predefined background characteristics and clinical outcomes. Outputs generated using an original prompt were compared with those produced using chain-of-thought and self-reflection (SR) prompt strategies. Two independent reviewers assessed accuracy against a reference standard derived from manual extraction by the guideline members. Inter-session consistency across three sessions and processing time were also evaluated. Results For background data extraction, mean no-error proportions ranged from 81.6% (ChatGPT-4o) to 92.4% (Claude 3 Sonnet) across models. For outcome data extraction, mean no-error proportions ranged from 27.8% (Gemini 1.5 Pro) to 80.7% (Claude 3 Sonnet). Missing or incorrect values accounted for most extraction errors, whereas fabricated outputs were relatively uncommon. Prompt engineering strategies resulted in only modest changes in extraction accuracy across models. Inter-session consistency ranged from 76.3% (ChatGPT-4o) to 91.3% (Gemini 1.5 Pro) for background data extraction and from 44.8% (ChatGPT-4o) to 65.6% (Claude 3 Sonnet) for outcome data extraction. Mean processing times ranged from 29.2 to 39.7 s per article for background data extraction and from 19.3 to 46.3 s for outcome data extraction using standard prompts. When SR prompts were used, processing times increased to 59.0 to 97.7 s for background data extraction and to 52.7 to 107.1 s for outcome data extraction. Conclusions LLMs can reliably support background data extraction in systematic reviews. However, outcome data extraction remains challenging, emphasizing the continued need for human oversight. Extraction performance varied across models and prompt engineering strategies. Clinical Trial Registration: The study was registered in the University Hospital Medical Information Network (UMIN) clinical trials registry, identifier (UMIN000054461).</t>
  </si>
  <si>
    <t xml:space="preserve">R446</t>
  </si>
  <si>
    <t xml:space="preserve">Effectiveness of artificial intelligence integration in design-based learning on design thinking mindset, creative and reflective thinking skills: An experimental study</t>
  </si>
  <si>
    <t xml:space="preserve">Education and Information Technologies : Official Journal of the IFIP technical committee on Education</t>
  </si>
  <si>
    <t xml:space="preserve">Integrating Artificial Intelligence (AI) into learning activities is an essential opportunity to develop students' varied thinking skills. On the other hand, design-based learning (DBL) can more effectively foster creative design processes with AI technologies to overcome real-world challenges. In this context, AI-supported DBL activities have a significant potential for teaching and developing thinking skills. However, there is a lack of experimental interventions in the literature examining the effects of integrating AI into learner-centered methods on active engagement and thinking skills. The current study aims to explore the effectiveness of AI integration as a guidance and collaboration tool in a DBL process. In this context, the effect of the experimental application on the participants’ design thinking mindset, creative self-efficacy (CSE), and reflective thinking (RT) self-efficacy levels and the relationship between them were examined. The participants used ChatGPT and Midjourney in the digital story development process as part of the experimental treatment. The only difference between the control and experimental groups in the digital storytelling process is the AI applications used in the experimental treatment (ChatGPT and Midjourney). In this quasi-experimental method study, participants were randomly assigned to treatment, an AI integration intervention, at the departmental level. 87 participants (undergraduate students) in the experimental group and 99 (undergraduate students) in the control group. The implementation process lasted five weeks. Partial Least Squares (PLS), Structural Equation Modeling (SEM), and Multi-Group Analysis (MGA) were made according to the measurements made at the T0 point before the experiment and at the T1 point after the experiment. According to the research result, the intervention in both groups contributed to the creative self-efficacy, critical reflection, and reflection development of the participants. On the other hand, the design thinking mindset levels of both groups did not show a significant difference in the comparison of the T0 point and the T1 point.</t>
  </si>
  <si>
    <t xml:space="preserve">R065</t>
  </si>
  <si>
    <t xml:space="preserve">Students’ perseptions of the use of ChatGPT in writing skills</t>
  </si>
  <si>
    <t xml:space="preserve">Revista Científica de Innovación Educativa y Sociedad Actual "ALCON"</t>
  </si>
  <si>
    <t xml:space="preserve">The research explored the perceptions of 32 students at the Technical University of Cotopaxi regarding the use of ChatGPT as a writing support tool in English. While pre- and post-tests were used to observe performance trends, the central objective was to analyze student attitudes toward the usefulness of AI in generating ideas, providing accurate feedback, and improving the writing process. Through descriptive statistics and surveys, the findings indicate that most participants perceive ChatGPT as an effective assistant for organizing ideas, improving grammar, and expanding vocabulary. Students highlighted the immediacy of the feedback and the increased confidence it gave them when starting tasks, valuing the ability to compare their original work with improved alternatives. This fostered more active revision and a clearer understanding of grammatical patterns. Although a minority expressed concerns about technological dependence and the need for teacher verification, the results reveal a predominantly positive perception. It is concluded that ChatGPT functions as a valuable complementary educational resource that, under pedagogical guidance, strengthens the autonomous development of writing in a second languag</t>
  </si>
  <si>
    <t xml:space="preserve">R152</t>
  </si>
  <si>
    <t xml:space="preserve">The Power of Perspective: Using Q Methodology to Deepen Technology Infusion in Teacher Education</t>
  </si>
  <si>
    <t xml:space="preserve">Journal of Digital Learning in Teacher Education</t>
  </si>
  <si>
    <t xml:space="preserve">how preservice teachers interact with generative AI tools in the context of lesson planning. The authors categorize the preservice teachers’ prompts into three levels and analyze their use of GenAI, finding that participants primarily relied on the tool for idea generation rather than for deeper critical thought and purposeful revision. While most viewed GenAI as a helpful collabo-rator or partner, but they also expressed concerns about the risk of becoming overly dependent on it. The article, Polyphonic Education in Teaching Training: Constructing a New Paradigm through Professional Learning Communities , introduces a humanistic educational framework aimed at guiding the design of technology-enhanced learning environments. By integrating space, technology, pedagogy, and content the authors advocate for inclusive and pluralistic spaces that support knowledge-building and personal growth. The article provides thought-provoking insights that highlight pathways for implementation and future research. The article , Exploring the Role of Didactic Strategies in the Creation of Augmented Reality Digital Content by Pre-Service Primary School Teachers: A Systematic Literature Review , synthesizes current literature on augmented reality (AR) in higher education, teaching strategies, and digital competencies. Using the PRISMA framework, the authors offer a comprehensive checklist to guide reporting and analysis. While integrating AR is complex, the review underscores its value as a tool for modeling effective practices with preservice teachers. The article, “From Creators to Critical Thinkers: How Middle Schoolers Learn to Spot and Stop False Information Through Media Production,” presents a framework for integrating critical media literacy into K–12 education. The authors highlight a Media Creation Bootcamp, where participants engaged in designing media content free from misinformation. Findings show shifts in students’ understanding and perspectives, emphasizing how media production can serve as a powerful tool for fostering critical thinking. The framework also offers valuable guidance for future educators in designing lessons that help students recognize and resist misinformation. And finally, the article titled, The Impact of a Gamified Course on Pre-service Teachers’ Perspectives Toward Gamification , explores how future teachers perceive gamified learning environments. Using a quasi-experimental design, the researchers report mixed results—while some participants developed more positive attitudes</t>
  </si>
  <si>
    <t xml:space="preserve">R329</t>
  </si>
  <si>
    <t xml:space="preserve">Decoding Student Dialogue: A Multi-Dimensional Comparison and Bias Analysis of Large Language Models as Annotation Tools</t>
  </si>
  <si>
    <t xml:space="preserve">Educational dialogue is critical for decoding student learning processes, yet manual annotation remains time-consuming. This study evaluates the efficacy of GPT-5.2 and Gemini-3 using three prompting strategies (few-shot, single-agent, and multi-agent reflection) across diverse subjects, educational levels, and four coding dimensions. Results indicate that while multi-agent prompting achieved the highest accuracy, the results did not reach statistical significance. Accuracy proved highly context-dependent, with significantly higher performance in K-12 datasets compared to university-level data, alongside disciplinary variations within the same educational level. Performance peaked in the affective dimension but remained lowest in the cognitive dimension. Furthermore, analysis revealed four bias patterns: (1) Gemini-3 exhibited a consistent optimistic bias in the affective dimension across all subjects; (2) the cognitive dimension displayed domain-specific directional bias, characterized by systematic underestimation in Mathematics versus overestimation in Psychology; (3) both models are more prone to overestimation than underestimation within the meta-cognitive dimension; and (4) behavioral categories such as question, negotiation, and statements were frequently misclassified. These results underscore the need for context-sensitive deployment and targeted mitigation of directional biases in automated annotation.</t>
  </si>
  <si>
    <t xml:space="preserve">R174</t>
  </si>
  <si>
    <t xml:space="preserve">Unpacking the Rejection of L2 Students Toward ChatGPT-Generated Feedback: An Explanatory Research</t>
  </si>
  <si>
    <t xml:space="preserve">ECNU Review of Education</t>
  </si>
  <si>
    <t xml:space="preserve">Purpose Drawing on the Unified Theory of Acceptance and Use of Technology (UTAUT), this sequential mixed-method study explored L2 learners’ challenges in seeking corrective feedback in an AI-assisted educational environment. Design/Approach/Methods The data was collected from 45 university students in a Computer Science program who were encouraged to seek corrective feedback from ChatGPT for their argumentative writing report. Self-reflection data were qualitatively and quantitatively analyzed. Findings Findings suggested that 45.9% of the AI-generated feedback was rejected by students, with a higher rejection rate observed for content-focused feedback (58.7%) compared to form-focused feedback (41.3%). AI-generated content-focused feedback was rejected due to misalignments between expected and received feedback, anticipated high workload to respond, mismatch between feedback from AI and external references, and impeding conditions for students to engage with the feedback. Meanwhile, the rejection of form-focused feedback was largely associated with the high level of expected effort. Originality/Value This study is one of the few existing studies on the L2 learners’ challenges in seeking corrective feedback from generative AI systems. Notably, the study differentiates between form-focused and content-focused feedback and identifies the distinct challenges and learning opportunities that impact students’ rejection of AI feedback.</t>
  </si>
  <si>
    <t xml:space="preserve">R144</t>
  </si>
  <si>
    <t xml:space="preserve">Performing an Inductive Thematic Analysis of Semi-Structured Interviews With a Large Language Model: An Exploration and Provocation on the Limits of the Approach</t>
  </si>
  <si>
    <t xml:space="preserve">Social science computer review</t>
  </si>
  <si>
    <t xml:space="preserve">Large Language Models (LLMs) have emerged as powerful generative Artificial Intelligence solutions. This paper presents results and reflections of an experiment done with the LLM GPT 3.5-Turbo to perform an inductive Thematic Analysis (TA). Previous research has worked on conducting deductive analysis. Thematic Analysis is a qualitative method for analysis commonly used in social sciences and it is based on interpretations by the human analyst(s) and the identification of explicit and latent meanings in qualitative data. The paper presents the motivations for attempting this analysis; it reflects on how the six phases to a TA proposed by Braun and Clarke can partially be reproduced with the LLM and it reflects on what are the model’s outputs. The paper uses two datasets of open access semi-structured interviews, previously analysed by other researchers. The first dataset contains interviews with videogame players, and the second is a dataset of interviews with lecturers teaching data science in a University. This paper used the analyses previously conducted on these datasets to compare with the results produced by the LLM. The results show that the model can infer most of the main themes from previous research. This shows that using LLMs to perform an inductive TA is viable and offers a good degree of validity. The discussion offers some recommendations for working with LLMs in qualitative analysis.</t>
  </si>
  <si>
    <t xml:space="preserve">R286</t>
  </si>
  <si>
    <t xml:space="preserve">Harnessing generative AI for collaborative creativity: A study of university students’ engagement and innovation</t>
  </si>
  <si>
    <t xml:space="preserve">International journal of innovative research and scientific studies</t>
  </si>
  <si>
    <t xml:space="preserve">This mixed-methods study investigates the role of GenAI in enhancing collaborative creativity among university students, focusing on divergent thinking, team dynamics, and evaluation apprehension. Fifty undergraduate students enrolled in a communication skills course were divided into control (non-AI) and experimental (AI-supported) groups to perform the Alternative Uses Task (AUT), a divergent thinking exercise. Quantitative analysis of creative outputs revealed that AI-assisted teams significantly outperformed non-AI groups across all metrics: fluency (22.8 vs. 15.2), flexibility (11.6 vs. 8.4), originality (7.9 vs. 6.1), and elaboration (24.5 vs. 18.3), indicating AI’s capacity to augment idea generation and development. Qualitative thematic analysis of students’ reflections highlighted AI’s dual role in fostering inclusivity by reducing evaluation apprehension (reported by 80% of participants), while introducing challenges such as cognitive fixation on AI-generated ideas (45%) and role ambiguity, where AI was perceived as a dominant “team leader” (30%). Students noted that AI fostered participation but risked overshadowing human agency and critical engagement. These findings underscored that GenAI’s potential as a cognitive collaborator in educational settings enhances creative output and psychological safety, yet emphasize the need for pedagogical frameworks that balance AI integration with strategies to mitigate over-reliance. Implications for higher education and future human-AI research are provided.</t>
  </si>
  <si>
    <t xml:space="preserve">R094</t>
  </si>
  <si>
    <t xml:space="preserve">The Effects of GitHub Copilot on Computing Students' Programming Effectiveness, Efficiency, and Processes in Brownfield Coding Tasks</t>
  </si>
  <si>
    <t xml:space="preserve">International Computing Education Research Workshop</t>
  </si>
  <si>
    <t xml:space="preserve">When graduates of computing degree programs enter the software industry, they will most likely join teams working on legacy code bases developed by people other than themselves. In these so-called brownfield software development settings, generative artificial intelligence (GenAI) coding assistants like GitHub Copilot are rapidly transforming software development practices, yet the impact of GenAI on student programmers performing brownfield development tasks remains underexplored. This paper investigates how GitHub Copilot influences undergraduate students’ programming performance, behaviors, and understanding when completing brownfield programming tasks in which they add new code to an unfamiliar code base. We conducted a controlled experiment in which 10 undergraduate computer science students completed highly similar brownfield development tasks with and without Copilot in a legacy web application. Using a mixed-methods approach combining performance analysis, behavioral analysis, and exit interviews, we found that students completed tasks 34.9% faster (p &lt; 0.05) and made 50.0% more solution progress (p &lt; 0.05) when using Copilot. Moreover, our analysis revealed that, when using Copilot, students spent 10.6% less time manually writing code (p &lt; 0.05), and 11.6% less time conducting web searches (p &lt; 0.05), providing evidence of a fundamental shift in how they engaged in programming. In exit interviews, students reported concerns about not understanding how or why Copilot suggestions work. This research suggests the need for computing educators to develop new pedagogical approaches that leverage GenAI assistants’ benefits while fostering reflection on how and why GenAI suggestions address brownfield programming tasks. Complete study results and analysis are presented at ghcopilot-icer.github.io.</t>
  </si>
  <si>
    <t xml:space="preserve">R388</t>
  </si>
  <si>
    <t xml:space="preserve">Strategies and Practices for Enhancing Higher Education Faculty Teaching Capabilities through Artificial Intelligence</t>
  </si>
  <si>
    <t xml:space="preserve">Proceedings of the 2025 2nd International Conference on Artificial Intelligence and Future Education</t>
  </si>
  <si>
    <t xml:space="preserve">A new wave of technologies—represented by generative AI, multimodal learning analytics, and human-machine collaborative systems—is driving a three-dimensional transformation of higher education faculty roles. Educators are evolving from “knowledge transmitters” into integrated “learning designers—value shapers—data decision-makers.” Guided by the Ministry of Education's policy framework “Digital Empowerment for Teacher Development,” this study employs field research across over 30 universities and fuzzy set qualitative comparative analysis (fsQCA) of 280 secondary colleges. Through in-depth comparative case studies across three disciplines (STEM, humanities, arts/sports), it systematically elucidates the theoretical mechanisms, core technical architectures, and differentiated implementation pathways for AI-enhanced teaching capabilities. (fsQCA) across 280 secondary colleges, and in-depth comparative case studies across three disciplinary categories (science/engineering, humanities, physical education/arts). It systematically elucidates the theoretical mechanisms, core technological architecture, and differentiated implementation pathways for AI-empowered teaching capabilities, establishing a new triadic paradigm of “technology-institutional-humanistic” synergy. Key findings include: (1) The multimodal classroom evidence-based system can enhance the precision of teaching diagnostics, but require edge computing and federated learning to safeguard data sovereignty; (2) Enhancements in teachers' teaching efficacy exhibit disciplinary heterogeneity: STEM disciplines rely on a closed-loop system of “teaching behaviors × student feedback” experimental data, while humanities disciplines depend on a dual-drive model of “teaching ethics × emotional interaction”; (3) Absent ethical governance poses the primary risk for deep AI application, necessitating a three-tier firewall comprising “data classification and grading + algorithmic ethics review + teacher digital rights catalog.” Based on these findings, the paper proposes an integrated teacher development model encompassing “AI tools—organizational support—humanistic reflection” and offers actionable policy recommendations for national resource repository development, discipline-differentiated training, and cross-border digital governance collaboration.</t>
  </si>
  <si>
    <t xml:space="preserve">R255</t>
  </si>
  <si>
    <t xml:space="preserve">Fostering Metacognition in Anatomy Education Through Game-Based Learning and a Context-Aware AI Assistant.</t>
  </si>
  <si>
    <t xml:space="preserve">Clinical anatomy (New York, N.Y. Print)</t>
  </si>
  <si>
    <t xml:space="preserve">Anatomy education is increasingly challenged by limited access to body donor materials, high infrastructure costs, and unequal availability of advanced educational technologies. This study presents an interprofessional mobile application that integrates game-based learning with a context-aware artificial intelligence (AI) assistant supported by generative AI and retrieval-augmented generation (RAG). The platform combines high-fidelity anatomical images and videos with interactive features including practices, tournaments, AI-generated quizzes, and an AI chat assistant. The app was developed through an interdisciplinary and iterative process and evaluated during two experimental cycles involving more than 250 undergraduate students from medicine and related health sciences programs. Metacognitive outcomes were assessed through entry and exit questionnaires, learning logs, and focus groups. Students showed high engagement with the platform, completing 608 AI chat sessions, generating 1294 AI messages, and participating in 404 AI daily quizzes, with 90% receiving positive evaluations. Approximately 85% of participants considered the app a valuable complement to traditional anatomy learning. Metacognitive analysis showed improvements in conditional knowledge (33%-50%), planning (76%-88%), and depuration (76%-88%). Although some students still preferred traditional methods, many reported that the AI tools and game-based activities increased motivation, self-directed learning, and exploration of anatomical content. These findings suggest that game-based learning combined with context-aware AI can complement body donor-based anatomy education while supporting metacognitive development and improving access to high-quality anatomical resources.</t>
  </si>
  <si>
    <t xml:space="preserve">R613</t>
  </si>
  <si>
    <t xml:space="preserve">The effect of a human-GAI dialogue mode on improving college students’ questioning competence in digital reading</t>
  </si>
  <si>
    <t xml:space="preserve">Smart Learning Environments</t>
  </si>
  <si>
    <t xml:space="preserve">Students’ questioning competence, which is strong related to higher-order cognitive processes such as critical thinking, creativity, and problem-solving, is crucial to develop during reading. Drawing on dialogue learning theory, this study examined the effects of a human-GenAI dialogue learning mode on college students’ post-reading questioning in digital reading. An instructional quasi-experiment with an in-subject design was conducted among 112 college students, who completed reading tasks under both a general reading mode and a human-GenAI dialogue mode supported by ERNIE Bot. Students’ post-reading questions were analyzed in terms of quantity, cognitive level, external structure, and overall quality. Students’ output in the human-GenAI dialogue were analyzed through lag sequential analysis (LSA), complemented by representative dialogue excerpts. It was found that the application of the human-GenAI dialogue learning mode significantly improved students’ questioning behaviors and competence during reading. The lag sequence analysis of students’ strategies use in human-GenAI dialogue reveals that different strategies used in human-GenAI dialogue can affect students’ questioning performance. Students who have a higher level of self-regulation, are good at reflecting and adjusting their dialogue strategies tend to raise higher-quality questions. Overall, the findings suggest that the human-GenAI dialogue mode can serve as a scaffolded environment that supports higher-quality post-reading questioning. It may help understand how human-GenAI dialogue may support reading-related inquiry and offers implications for designing AI-supported reading activities that foster more purposeful and reflective questioning.</t>
  </si>
  <si>
    <t xml:space="preserve">R035</t>
  </si>
  <si>
    <t xml:space="preserve">Integrating Generative AI and Immersive Technologies in the Metaverse: Enhancing Learning Experiences through Intelligent Educational Environments</t>
  </si>
  <si>
    <t xml:space="preserve">iMeta</t>
  </si>
  <si>
    <t xml:space="preserve">This study examines the integration of generative artificial intelligence (AI) tools and immersive technologies within metaverse-based higher education environments, framed by established learning science theories on student engagement [8]–[10]. Specifically, it investigates how the application of large language models (LLMs) such as ChatGPT, MidJourney, and Leonardo AI, combined with Virtual Reality (VR) and Augmented Reality (AR), influences vigor, dedication, and absorption in design learning. The research was conducted within the Tec Virtual Campus, a structured metaverse environment, involving 87 undergraduate architecture and design students in interdisciplinary projects. A mixed-methods approach was employed, combining pre- and post-intervention surveys using the Utrecht Work Engagement Scale (UWES-S-9) and qualitative thematic analysis of student reflections. Statistical results revealed significant improvements (p &lt; 0.01) in all UWES-S-9 subscales, with large effect sizes for dedication (d = 0.88) and medium-to-large effects for vigor (d = 0.76) and absorption (d = 0.73). Qualitative findings showed that GenAI tools supported creative ideation, narrative development, and the overcoming of creative blocks, while immersive validation in VR/AR enhanced spatial iteration and experiential design quality. This paper contributes by (1) offering a detailed methodological account of AI/XR integration in metaverse-based courses, (2) grounding the approach in engagement and experiential learning theories [8]–[10], and (3) providing empirical evidence of its positive impact on creativity and spatial competencies. Limitations include the absence of a control group, the lack of direct performance-based spatial assessments, and the manual, non-structured use of AI prompts. Future work should explore comparative studies with control conditions, advanced prompt engineering, and longitudinal tracking of learning outcomes.</t>
  </si>
  <si>
    <t xml:space="preserve">R588</t>
  </si>
  <si>
    <t xml:space="preserve">Effects of Generative AI–Supported Virtual Reality Dental Skill Training on Learning Performance, Visual Behavior, and Cortical Activation Among Dental Students: Stratified Randomized Controlled Trial</t>
  </si>
  <si>
    <t xml:space="preserve">Journal of Medical Internet Research</t>
  </si>
  <si>
    <t xml:space="preserve">Background The rapid advancement of AI, particularly generative AI (GenAI), is reshaping educational paradigms. However, its utility in preclinical digital medical skills education remains insufficiently explored. Objective This study aims to investigate whether GenAI‑assisted training yields superior performance relative to traditional instruction in virtual reality (VR)–supported preclinical dental skill education. Methods A total of 123 eligible students from a top‑tier Chinese university completed the trial. Participants were stratified by baseline theoretical scores and randomly assigned within each stratum into two arms: the GenAI-assisted group (n=62) received ChatGPT guidance without human tutoring, with research assistants monitoring AI outputs solely for safety and error checking; the teacher-led control group (n=61) received on-site instructor guidance. Both groups underwent standardized VR-based dental skill training for 7 days. Assessments included dental operative skill examinations, functional near-infrared spectroscopy recording, continuous eye-tracking monitoring, visual-spatial ability tests, and questionnaires measuring self-regulated learning, learning emotions, and engagement. Results As the primary outcome, there was a statistically significant intergroup difference in operative test scores between the control group (mean 67.39, SD 16) and the GenAI‑assisted group (mean 77.25, SD 11.86), with the GenAI‑assisted group exhibiting higher operative test scores relative to the control group (t110.56=3.88, Cohen d=0.70; P&lt;.001). For secondary outcomes, the GenAI‑assisted group also demonstrated significantly lower cognitive‑load indicators (mean 0.180, SD 0.136) than the control group (mean 0.346, SD 0.150; P&lt;.001), accompanied by more efficient visual attention allocation patterns and stronger activation in prefrontal cortex, motor cortex, visual association cortex, and temporoparietal junction brain regions. The GenAI‑assisted group showed better performance across low (P=.003), medium (P=.004), and high (P=.004) level visual-spatial ability tests. Among low-achieving participants, the largest between-group difference in self-regulated learning was found in favor of the GenAI-assisted group (P=.02). Better scores were also observed for the GenAI‑assisted group in learning enjoyment, as well as behavioral, emotional, and cognitive engagement. Conclusions Students randomized to GenAI-assisted training had higher immediate operative scores than students receiving teacher-led instruction. Secondary cognitive, behavioral, and neurophysiological findings were exploratory and pointed toward a link between GenAI exposure and variations in skill‑acquisition metrics among dental students receiving VR-based training. The results offer preliminary insights regarding the potential integration of GenAI into preclinical dental skill education. Trial Registration Chinese Clinical Trial Registry ChiCTR2500110063; https://tinyurl.com/2hkv5wt9</t>
  </si>
  <si>
    <t xml:space="preserve">R330</t>
  </si>
  <si>
    <t xml:space="preserve">Embedding Generative AI into Systems Analysis and Design Curriculum: Framework, Case Study, and Cross-Campus Empirical Evidence</t>
  </si>
  <si>
    <t xml:space="preserve">arXiv.org</t>
  </si>
  <si>
    <t xml:space="preserve">Systems analysis students increasingly use Generative AI, yet current pedagogy lacks systematic approaches for teaching responsible AI orchestration that fosters critical thinking whilst meeting educational outcomes. Students risk accepting AI suggestions blindly or uncritically without assessing alignment with user needs or contextual appropriateness. SAGE (Structured AI-Guided Education) addresses this gap by embedding GenAI into curriculum design, training students when to accept, modify, or reject AI contributions. Implementation with 18 student groups across four Australian universities revealed how orchestration skills develop. Most groups (84\%) moved beyond passive acceptance, showing selective judgment, yet none proactively identified gaps overlooked by both human and AI analysis, indicating a competency ceiling. Students strong at explaining decisions also performed well at integrating sources, and those with deep domain understanding consistently considered accessibility considerations. Accessibility awareness proved fragile. When writing requirements, 85\% of groups explicitly considered elderly users and cultural needs. Notably, 55\% of groups struggled identifying when AI misclassified system boundaries (what belongs inside versus outside the system), 45\% missed data management errors (how information is stored and updated), and 55\% overlooked missing exception handling. Three implications emerge for educators: (i) require students to document why they accepted, modified, or rejected each AI suggestion, making reasoning explicit; (ii) embed accessibility prompts at each development stage because awareness collapses without continuous scaffolding; and (iii) have students create their own specifications before using AI, then compare versions, and anchor to research or standards to identify gaps.</t>
  </si>
  <si>
    <t xml:space="preserve">R336</t>
  </si>
  <si>
    <t xml:space="preserve">Redesigning collaborative teaching for human–AI partnership: a phase-based AI-constraint design principle in higher education</t>
  </si>
  <si>
    <t xml:space="preserve">Generative AI is now a routine presence in higher-education classrooms, shifting the operative question from whether to permit its use toward when and how access should be structured within a learning activity. This paper reports a design-based research programme examining phase-based AI constraints, deliberately restricting AI access to specific phases of a collaborative teaching method rather than permitting or prohibiting it wholesale, as a design principle for structuring human and AI contributions within collaborative learning activities. The wider DBR programme examined AI-augmented designs across six collaborative teaching methods, administered repeatedly to five student groups over two academic years; the phase-based AI-constraint principle reported here as DP1 was developed through, and its evidence anchored in, Think-Pair-Share, with the other five methods contributing broader DBR context rather than independent confirmatory evidence. Its strongest evidence comes from an AI-free Think phase within Think-Pair-Share, replicated across three independent student groups spanning three degree programs, where learners consistently endorsed the AI-free phase as appropriate; this endorsement pattern was typically the highest-scoring item on its questionnaire. This design itself resulted from an earlier design cycle within the same programme: an initial administration permitting AI access during this phase prompted redesign after the instructor's classroom observation indicated that independent reflection was being displaced by AI-mediated responses. We treat this endorsement as an empirical finding, not as a direct assessment of the quality or originality of what learners produced, and not as evidence that the phase in fact protects independent cognitive engagement; that stronger claim is a theoretically motivated proposition this study does not test, and we frame DP1 accordingly across three explicit levels: an empirical endorsement finding, a transferable design principle of differentiating AI access by activity phase rather than deciding it once for a whole activity, and an untested theoretical proposition about the cognitive mechanism this differentiation may support. A complementary, independent stakeholder strand surveyed higher-education professionals at a practitioner festival session, offering a modest, exploratory social-validity signal: the phase-based procedure itself was almost universally endorsed, while personal adoption intention was somewhat more reserved. An exploratory qualitative coding of practitioners' open responses showed only slight inter-coder reliability ( κ =0.17), so we do not use these responses to derive additional design principles, retaining only one response on function-based AI restriction as an illustrative example. The study is exploratory and formative, without a no-AI control condition or random assignment, and we frame its claims as design-principle evidence within a design-based research programme rather than as causal effect estimates. Anchored in independently replicated student endorsement data from Think-Pair-Share and supplemented by a practitioner social-validity signal, phase-based AI constraints offer higher-education instructors an actionable, low-friction design principle, one we expect to be conceptually transferable to other collaborative teaching methods, though this transfer remains to be empirically demonstrated.</t>
  </si>
  <si>
    <t xml:space="preserve">R487</t>
  </si>
  <si>
    <t xml:space="preserve">Resurrecting Socrates in the Age of AI: A Study Protocol for Evaluating a Socratic Tutor to Support Research Question Development in Higher Education</t>
  </si>
  <si>
    <t xml:space="preserve">Formulating research questions is a foundational yet challenging academic skill, one that generative AI systems often oversimplify by offering instant answers at the expense of student reflection. This protocol lays out a study grounded in constructivist learning theory to evaluate a novel AI-based Socratic Tutor, designed to foster cognitive engagement and scaffold research question development in higher education. Anchored in dialogic pedagogy, the tutor engages students through iterative, reflective questioning, aiming to promote System 2 thinking and counteract overreliance on AI-generated outputs. In a quasi-experimental design, approximately 80 German pre-service biology teacher students will be randomly assigned to one of two groups: an AI Socratic Tutor condition and an uninstructed chatbot control. Across multiple cycles, students are expected to formulate research questions based on background texts, with quality assessed through double-blind expert review. The study also examines transfer of skills to novel phenomena and captures student perceptions through mixed-methods analysis, including surveys, interviews and reflective journals. This study aims to advance the understanding of how generative AI can be pedagogically aligned to support, not replace, human cognition and offers design principles for human-AI collaboration in education.</t>
  </si>
  <si>
    <t xml:space="preserve">R061</t>
  </si>
  <si>
    <t xml:space="preserve">Integration of Intelligent Assistants and Adaptive Learning in Engineering Pedagogy: A Case Study in Nanotechnology and Life Sciences</t>
  </si>
  <si>
    <t xml:space="preserve">Int. J. Eng. Pedagog.</t>
  </si>
  <si>
    <t xml:space="preserve">The proliferation of large language models (LLMs) and generative artificial intelligence has catalyzed an unprecedented pedagogical paradigm shift within higher education. This study investigates the adoption, efficacy, and cognitive impact of these technological tools among undergraduate cohorts in engineering and life sciences. Recognizing that baseline familiarity with AI does not inherently translate into advanced operational competency or prompt engineering literacy, this study evaluates the deployment of both standard LLMs and retrieval-augmented generation (RAG)-based customized assistants. The investigation employs a rigorous dual-phase methodology: an exploratory assessment of technology acceptance using standard ChatGPT, followed by a tightly controlled quasi-experiment evaluating the impact of domain-specific “GPT Custom” mentors on academic performance on complex engineering tasks. The empirical results demonstrate that customized AI assistants significantly improve final academic outcomes, yielding average grade increases of more than 15% on data-intensive analytical assignments. Furthermore, the deployment of customized assistants notably reduced grade variability among students, indicating a homogenization of academic performance that effectively levels the learning environment without compromising rigor. This improvement was statistically amplified when students utilized premium, high-capacity versions of the models for extensive synthesis tasks. Ultimately, the data indicate that while AI offers robust adaptive scaffolding, its efficacy depends on users’ critical-thinking capacities, underscoring the urgent need for educational frameworks that cultivate prompt-engineering literacy and responsible human-AI collaboration.</t>
  </si>
  <si>
    <t xml:space="preserve">R038</t>
  </si>
  <si>
    <t xml:space="preserve">Effects of ChatGPT ‐Assisted Teacher Feedback on College Students' Critical Thinking Skills and Perceptions of Argumentative Writing</t>
  </si>
  <si>
    <t xml:space="preserve">Journal of Computer Assisted Learning</t>
  </si>
  <si>
    <t xml:space="preserve">Although teacher feedback is effective in facilitating argumentative writing and developing critical thinking skills, students often encounter difficulties in both linguistic and substantive aspects due to time constraints. Integrating ChatGPT into teacher feedback may provide an ideal approach for cultivating students' critical thinking skills in argumentative writing. A quasi‐experiment was conducted with undergraduate students to investigate how ChatGPT‐assisted teacher feedback influenced their critical thinking skills and perceptions. Students were required to complete two argumentative writing tasks on specific topics over an 18‐week period. The control group ( n = 32) received teacher feedback, whereas the experimental group ( n = 32) received ChatGPT‐assisted teacher feedback. Data were collected through questionnaires, content analysis, and interviews. The questionnaire results demonstrated that ChatGPT‐assisted teacher feedback significantly improved students' critical thinking skills compared with teacher feedback alone. The experimental group had a higher revision rate (91.00%) than the control group (85.21%). Specifically, the experimental group showed higher frequencies of evaluative, analytical, and creative behaviours reflected in instruction (I), evaluation (Ev), demonstration (D), question‐closely (Q), and continuation (Co) feedback, despite the fact that the control group demonstrated greater recognition and understanding through instruction (I) and evaluation (Ev) feedback. The interviews indicated that students perceived ChatGPT‐assisted teacher feedback as comprehensive and reasonable; however, they also identified areas for improvement, such as precision and professionalism. Our findings have several implications for future studies. Teachers should consider the responsible and ethical use of ChatGPT as an ideal scaffold, maintain scepticism towards its outputs, and improve their information literacy to use it effectively.</t>
  </si>
  <si>
    <t xml:space="preserve">R427</t>
  </si>
  <si>
    <t xml:space="preserve">Methodology and features of applying artificial intelligence technologies in the system of higher pedagogical education: an information and analytical review</t>
  </si>
  <si>
    <t xml:space="preserve">Gumilyov Journal of Pedagogy</t>
  </si>
  <si>
    <t xml:space="preserve">The article presents an information and analytical review of studies and models devoted to the methodology and specific features of applying artificial intelligence (AI) technologies in the system of higher pedagogical education. A comparative analysis of foreign and domestic scientific works, including systematic reviews, meta‑analyses, and empirical studies, has been carried out. Special attention is paid to the issues of integrating generative AI models into the professional training process of future teachers (in particular, primary school teachers and subject teachers in secondary education), the development of their digital competencies and the ethical aspects of interaction with AI tools. International, Russian, and Kazakhstani approaches have been compared, and the proven effects and limitations of using AI in the educational practice of higher education institutions have been identified. The necessity of developing national competency frameworks in the field of AI for teachers, adapted to the contexts of the Russian and Kazakhstani systems of higher pedagogical education, has been substantiated. The pedagogical conditions for the successful integration of AI have been examined: critical evaluation of the generated content, mentoring, digital collaboration tools, and reflective practices. It has been shown that the use of AI technologies enhances students’ motivation, academic independence, and professional reflection, promotes the personalization (individualization and differentiation) of learning, and fosters the development of 21st‑century skills. The practical significance lies in the proposals for introducing modules on AI literacy into methodological disciplines, teaching practices, and teacher professional development programs, considering national educational standards, the resources of higher education institutions (HEIs), and the profile of students’ professional pedagogical training.</t>
  </si>
  <si>
    <t xml:space="preserve">R208</t>
  </si>
  <si>
    <t xml:space="preserve">Nested Learning in Higher Education: Integrating Generative AI, Neuroimaging, and Multimodal Deep Learning for a Sustainable and Innovative Ecosystem</t>
  </si>
  <si>
    <t xml:space="preserve">Sustainability</t>
  </si>
  <si>
    <t xml:space="preserve">Industry 5.0 challenges higher education to adopt human-centred and sustainable uses of artificial intelligence, yet many current deployments still treat generative AI as a stand-alone tool, neurophysiological sensing as largely laboratory-bound, and governance as an external add-on rather than a design constraint. This article introduces Nested Learning as a neuro-adaptive ecosystem design in which generative-AI agents, IoT infrastructures and multimodal deep learning orchestrate instructional support while preserving student agency and a “pedagogy of hope”. We report an exploratory two-phase mixed-methods study as an initial empirical illustration. First, a neuro-experimental calibration with 18 undergraduate students used mobile EEG while they interacted with ChatGPT in problem-solving tasks structured as challenge–support–reflection micro-cycles. Second, a field implementation at a university in Madrid involved 380 participants (300 students and 80 lecturers), embedding the Nested Learning ecosystem into regular courses. Data sources included EEG (P300) signals, interaction logs, self-report measures of engagement, self-regulated learning and cognitive safety (with strong internal consistency; α/ω≥0.82), and open-ended responses capturing emotional experience and ethical concerns. In Phase 1, P300 dynamics aligned with key instructional micro-events, providing feasibility evidence that low-cost neuro-adaptive pipelines can be sensitive to pedagogical flow in ecologically relevant tasks. In Phase 2, participants reported high levels of perceived nested support and cognitive safety, and observed associations between perceived Nested Learning, perceived neuro-adaptive adjustments, engagement and self-regulation were moderate to strong (r=0.41–0.63, p&lt;0.001). Qualitative data converged on themes of clarity, adaptive support and non-punitive error culture, alongside recurring concerns about privacy and cognitive sovereignty. We argue that, under robust ethical, data-protection and sustainability-by-design constraints, Nested Learning can strengthen academic resilience, learner autonomy and human-centred uses of AI in higher education.</t>
  </si>
  <si>
    <t xml:space="preserve">R087</t>
  </si>
  <si>
    <t xml:space="preserve">Generative AI in Teacher Education: Applying OER-Enabled Pedagogy</t>
  </si>
  <si>
    <t xml:space="preserve">The Journal of Interactive Learning Research</t>
  </si>
  <si>
    <t xml:space="preserve">The article reports on a case study of an early-adopter classroom writing experiment utilizing generative AI while preserving student voice and academic integrity. The "Strong Schools" course, part of the Master of Education Program at the Asian University for Women (AUW), combined generative artificial intelligence (AI) with open-access platforms to empower students to author a comprehensive e-book on artificial intelligence in education. The course provided hands-on experience with generative AI and educational technology while promoting the creation and use of open educational resources (OER). Through the integration of AI tools and digital platforms for content creation, research support, and open access e-book publishing, the course equipped students to engage as both informed consumers and creative producers of AI-enhanced educational content. This article explores the course structure, the array of technologies employed, and the pedagogical strategies implemented. Reflections from facilitators and feedback from students offer insights into the impact of this approach on the adoption of generative AI in education. Student Feedback was gathered via an online survey and through video statements. Student feedback indicates that the experience has been profoundly impactful, not just in enhancing technical skills but also in shaping perceptions of generative AI's potential in education.</t>
  </si>
  <si>
    <t xml:space="preserve">R529</t>
  </si>
  <si>
    <t xml:space="preserve">Colonial Technostress: Reflections on AI and Language Learning</t>
  </si>
  <si>
    <t xml:space="preserve">Hispania</t>
  </si>
  <si>
    <t xml:space="preserve">he emergence of Generative Artificial Intelligence (AI) tools has sparked heated debates across higher education institutions, particularly concerning how students have been making use of it (Fowler 2023; Hockly 2023; Kalantzis and Cope 2024). Faculty mostly approach AI either as a potential tool for plagiarism that poses a threat to academic integrity (Cotton et al. 2024; Firth et al. 2024) or as a tool that can be used in the classroom to maximize learning and engagement (Kartal 2023; Sotomayor Cantos et al. 2023). These approaches effectively capture the macro-links between technology and language learning, even though they are, in turn, sometimes inattentive to learners’ individual identities and needs, and the structural conditions that compel students to turn to these technologies. Our reflection addresses a fundamental yet underexplored question: what drives our Spanish language students to resort to AI in the first place? We want to interrogate AI’s broader context, particularly the linguistic, psychological</t>
  </si>
  <si>
    <t xml:space="preserve">R522</t>
  </si>
  <si>
    <t xml:space="preserve">Generative AI as a team moderator in CSCL : Facilitating students' multidimensional engagement through adaptive scaffolding for socially shared regulation of learning</t>
  </si>
  <si>
    <t xml:space="preserve">Socially shared regulation of learning (SSRL) is essential for successful collaboration, yet effectively scaffolding it remains challenging because regulatory needs are dynamic and context‐dependent. While generative AI (GenAI) offers potential for adaptive support, current applications in collaborative learning largely position it as a content‐oriented tutor for knowledge explanation or idea generation, leaving its role as a process‐oriented team moderator for scaffolding SSRL processes underexplored. To address this gap, we conducted a 16‐week quasi‐experiment with 64 undergraduates in China, comparing adaptive SSRL scaffolding delivered by a GenAI agent in the adaptive‐SSRL condition with static scaffolding via structured digital worksheets in the static‐SSRL condition. Survey data and group discussion transcripts were analysed using statistical methods and epistemic network analysis. Results indicated several differences in students' multidimensional engagement between the two conditions: (1) Behaviourally, the adaptive‐SSRL group showed significantly higher participation equality, although participation intensity did not differ significantly between groups. (2) Cognitively, the adaptive‐SSRL group demonstrated deeper cognitive engagement, reflected in more advanced cognitive presence phases and more integrative, solution‐oriented discourse patterns. (3) Emotionally, the adaptive‐SSRL group reported significantly higher overall emotional engagement, particularly feeling more relaxed during collaboration and more connected with peers. These findings extend human–AI collaboration research by showing that GenAI can function as an SSRL‐informed team moderator rather than a content‐oriented tutor. They also offer design implications for GenAI‐enabled adaptive SSRL scaffolding and human–AI role division in CSCL. What is already known about this topic Socially shared regulation of learning (SSRL) is critical for successful collaboration and is closely associated with the quality of student engagement. While static scaffolds (eg, worksheets) provide a basic regulatory structure, they fail to adapt to the dynamic and emergent needs of collaborating teams. Generative AI (GenAI) is increasingly used for personalised content support, yet its potential as a process‐oriented team moderator remains underexplored. What this paper adds This study introduced SSRLAgent, a GenAI agent grounded in SSRL theory and established principles of collective metacognitive support, to provide adaptive and interactive regulatory scaffolding. In a 16‐week quasi‐experiment, we compared GenAI‐enabled adaptive SSRL scaffolding (SSRLAgent) with static scaffolding (structured digital worksheets) in CSCL. Adaptive‐SSRL scaffolding was associated with higher‐quality engagement: greater participation equality, deeper cognitive engagement and higher overall emotional engagement. Implications for practice and/or policy The study underscores the necessity of shifting SSRL scaffolding from static, ‘one‐size‐fits‐all’ support to adaptive GenAI interventions to improve collaborative engagement. The findings provide design guidance for developing SSRL agents that are embedded in the shared interaction space and responsive to groups' moment‐to‐moment regulatory needs. The study suggests a productive human–AI division of labour: GenAI agents can support process coordination and regulatory prompting, while teachers and peers remain essential for relationally complex forms of support that collaborative learning requires.</t>
  </si>
  <si>
    <t xml:space="preserve">Resumen (se calcula solo)</t>
  </si>
  <si>
    <t xml:space="preserve">EXCLUIR</t>
  </si>
  <si>
    <t xml:space="preserve">DUDOSO</t>
  </si>
  <si>
    <t xml:space="preserve">Sin decidir</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</si>
</sst>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
      <i val="true"/>
      <sz val="9"/>
      <name val="Arial"/>
      <family val="0"/>
      <charset val="1"/>
    </font>
    <font>
      <sz val="9"/>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EDEDED"/>
        <bgColor rgb="FFFFF2CC"/>
      </patternFill>
    </fill>
    <fill>
      <patternFill patternType="solid">
        <fgColor rgb="FFFFF2CC"/>
        <bgColor rgb="FFEDEDE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ED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4" customFormat="false" ht="15" hidden="false" customHeight="false" outlineLevel="0" collapsed="false">
      <c r="A4" s="2" t="s">
        <v>3</v>
      </c>
    </row>
    <row r="5" customFormat="false" ht="15" hidden="false" customHeight="false" outlineLevel="0" collapsed="false">
      <c r="A5" s="2"/>
    </row>
    <row r="6" customFormat="false" ht="23.85" hidden="false" customHeight="false" outlineLevel="0" collapsed="false">
      <c r="A6" s="2" t="s">
        <v>4</v>
      </c>
    </row>
    <row r="7" customFormat="false" ht="15" hidden="false" customHeight="false" outlineLevel="0" collapsed="false">
      <c r="A7" s="2"/>
    </row>
    <row r="8" customFormat="false" ht="15" hidden="false" customHeight="false" outlineLevel="0" collapsed="false">
      <c r="A8" s="1" t="s">
        <v>5</v>
      </c>
    </row>
    <row r="9" customFormat="false" ht="15" hidden="false" customHeight="false" outlineLevel="0" collapsed="false">
      <c r="A9" s="2" t="s">
        <v>6</v>
      </c>
    </row>
    <row r="10" customFormat="false" ht="15" hidden="false" customHeight="false" outlineLevel="0" collapsed="false">
      <c r="A10" s="2" t="s">
        <v>7</v>
      </c>
    </row>
    <row r="11" customFormat="false" ht="35.05" hidden="false" customHeight="false" outlineLevel="0" collapsed="false">
      <c r="A11" s="2" t="s">
        <v>8</v>
      </c>
    </row>
    <row r="12" customFormat="false" ht="23.8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row>
    <row r="16" customFormat="false" ht="15" hidden="false" customHeight="false" outlineLevel="0" collapsed="false">
      <c r="A16" s="1" t="s">
        <v>12</v>
      </c>
    </row>
    <row r="17" customFormat="false" ht="23.85" hidden="false" customHeight="false" outlineLevel="0" collapsed="false">
      <c r="A17" s="2" t="s">
        <v>13</v>
      </c>
    </row>
    <row r="18" customFormat="false" ht="15" hidden="false" customHeight="false" outlineLevel="0" collapsed="false">
      <c r="A18" s="2"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7"/>
    <col collapsed="false" customWidth="true" hidden="false" outlineLevel="0" max="3" min="3" style="0" width="6"/>
    <col collapsed="false" customWidth="true" hidden="false" outlineLevel="0" max="4" min="4" style="0" width="40"/>
    <col collapsed="false" customWidth="true" hidden="false" outlineLevel="0" max="5" min="5" style="0" width="22"/>
    <col collapsed="false" customWidth="true" hidden="false" outlineLevel="0" max="6" min="6" style="0" width="95"/>
    <col collapsed="false" customWidth="true" hidden="false" outlineLevel="0" max="7" min="7" style="0" width="12"/>
    <col collapsed="false" customWidth="true" hidden="false" outlineLevel="0" max="8" min="8" style="0" width="9"/>
    <col collapsed="false" customWidth="true" hidden="false" outlineLevel="0" max="9" min="9" style="0" width="30"/>
  </cols>
  <sheetData>
    <row r="1" customFormat="false" ht="15" hidden="false" customHeight="false" outlineLevel="0" collapsed="false">
      <c r="A1" s="3" t="s">
        <v>15</v>
      </c>
      <c r="B1" s="3" t="s">
        <v>16</v>
      </c>
      <c r="C1" s="3" t="s">
        <v>17</v>
      </c>
      <c r="D1" s="3" t="s">
        <v>18</v>
      </c>
      <c r="E1" s="3" t="s">
        <v>19</v>
      </c>
      <c r="F1" s="3" t="s">
        <v>20</v>
      </c>
      <c r="G1" s="3" t="s">
        <v>21</v>
      </c>
      <c r="H1" s="3" t="s">
        <v>22</v>
      </c>
      <c r="I1" s="3" t="s">
        <v>23</v>
      </c>
    </row>
    <row r="2" customFormat="false" ht="150" hidden="false" customHeight="true" outlineLevel="0" collapsed="false">
      <c r="A2" s="4" t="s">
        <v>24</v>
      </c>
      <c r="B2" s="4" t="s">
        <v>25</v>
      </c>
      <c r="C2" s="4" t="n">
        <v>2024</v>
      </c>
      <c r="D2" s="4" t="s">
        <v>26</v>
      </c>
      <c r="E2" s="4" t="s">
        <v>27</v>
      </c>
      <c r="F2" s="4" t="s">
        <v>28</v>
      </c>
      <c r="G2" s="4" t="s">
        <v>29</v>
      </c>
      <c r="H2" s="4"/>
      <c r="I2" s="4" t="s">
        <v>30</v>
      </c>
    </row>
    <row r="3" customFormat="false" ht="150" hidden="false" customHeight="true" outlineLevel="0" collapsed="false">
      <c r="A3" s="5" t="n">
        <v>1</v>
      </c>
      <c r="B3" s="5" t="s">
        <v>31</v>
      </c>
      <c r="C3" s="5" t="n">
        <v>2026</v>
      </c>
      <c r="D3" s="5" t="s">
        <v>32</v>
      </c>
      <c r="E3" s="5" t="s">
        <v>33</v>
      </c>
      <c r="F3" s="5" t="s">
        <v>34</v>
      </c>
      <c r="G3" s="6"/>
      <c r="H3" s="6"/>
      <c r="I3" s="6"/>
    </row>
    <row r="4" customFormat="false" ht="150" hidden="false" customHeight="true" outlineLevel="0" collapsed="false">
      <c r="A4" s="5" t="n">
        <v>2</v>
      </c>
      <c r="B4" s="5" t="s">
        <v>35</v>
      </c>
      <c r="C4" s="5" t="n">
        <v>2026</v>
      </c>
      <c r="D4" s="5" t="s">
        <v>36</v>
      </c>
      <c r="E4" s="5" t="s">
        <v>37</v>
      </c>
      <c r="F4" s="5" t="s">
        <v>38</v>
      </c>
      <c r="G4" s="6"/>
      <c r="H4" s="6"/>
      <c r="I4" s="6"/>
    </row>
    <row r="5" customFormat="false" ht="150" hidden="false" customHeight="true" outlineLevel="0" collapsed="false">
      <c r="A5" s="5" t="n">
        <v>3</v>
      </c>
      <c r="B5" s="5" t="s">
        <v>39</v>
      </c>
      <c r="C5" s="5" t="n">
        <v>2025</v>
      </c>
      <c r="D5" s="5" t="s">
        <v>40</v>
      </c>
      <c r="E5" s="5" t="s">
        <v>41</v>
      </c>
      <c r="F5" s="5" t="s">
        <v>42</v>
      </c>
      <c r="G5" s="6"/>
      <c r="H5" s="6"/>
      <c r="I5" s="6"/>
    </row>
    <row r="6" customFormat="false" ht="150" hidden="false" customHeight="true" outlineLevel="0" collapsed="false">
      <c r="A6" s="5" t="n">
        <v>4</v>
      </c>
      <c r="B6" s="5" t="s">
        <v>43</v>
      </c>
      <c r="C6" s="5" t="n">
        <v>2025</v>
      </c>
      <c r="D6" s="5" t="s">
        <v>44</v>
      </c>
      <c r="E6" s="5" t="s">
        <v>45</v>
      </c>
      <c r="F6" s="5" t="s">
        <v>46</v>
      </c>
      <c r="G6" s="6"/>
      <c r="H6" s="6"/>
      <c r="I6" s="6"/>
    </row>
    <row r="7" customFormat="false" ht="150" hidden="false" customHeight="true" outlineLevel="0" collapsed="false">
      <c r="A7" s="5" t="n">
        <v>5</v>
      </c>
      <c r="B7" s="5" t="s">
        <v>47</v>
      </c>
      <c r="C7" s="5" t="n">
        <v>2026</v>
      </c>
      <c r="D7" s="5" t="s">
        <v>48</v>
      </c>
      <c r="E7" s="5" t="s">
        <v>49</v>
      </c>
      <c r="F7" s="5" t="s">
        <v>50</v>
      </c>
      <c r="G7" s="6"/>
      <c r="H7" s="6"/>
      <c r="I7" s="6"/>
    </row>
    <row r="8" customFormat="false" ht="150" hidden="false" customHeight="true" outlineLevel="0" collapsed="false">
      <c r="A8" s="5" t="n">
        <v>6</v>
      </c>
      <c r="B8" s="5" t="s">
        <v>51</v>
      </c>
      <c r="C8" s="5" t="n">
        <v>2026</v>
      </c>
      <c r="D8" s="5" t="s">
        <v>52</v>
      </c>
      <c r="E8" s="5" t="s">
        <v>53</v>
      </c>
      <c r="F8" s="5" t="s">
        <v>54</v>
      </c>
      <c r="G8" s="6"/>
      <c r="H8" s="6"/>
      <c r="I8" s="6"/>
    </row>
    <row r="9" customFormat="false" ht="150" hidden="false" customHeight="true" outlineLevel="0" collapsed="false">
      <c r="A9" s="5" t="n">
        <v>7</v>
      </c>
      <c r="B9" s="5" t="s">
        <v>55</v>
      </c>
      <c r="C9" s="5" t="n">
        <v>2025</v>
      </c>
      <c r="D9" s="5" t="s">
        <v>56</v>
      </c>
      <c r="E9" s="5" t="s">
        <v>33</v>
      </c>
      <c r="F9" s="5" t="s">
        <v>57</v>
      </c>
      <c r="G9" s="6"/>
      <c r="H9" s="6"/>
      <c r="I9" s="6"/>
    </row>
    <row r="10" customFormat="false" ht="150" hidden="false" customHeight="true" outlineLevel="0" collapsed="false">
      <c r="A10" s="5" t="n">
        <v>8</v>
      </c>
      <c r="B10" s="5" t="s">
        <v>58</v>
      </c>
      <c r="C10" s="5" t="n">
        <v>2026</v>
      </c>
      <c r="D10" s="5" t="s">
        <v>59</v>
      </c>
      <c r="E10" s="5" t="s">
        <v>60</v>
      </c>
      <c r="F10" s="5" t="s">
        <v>61</v>
      </c>
      <c r="G10" s="6"/>
      <c r="H10" s="6"/>
      <c r="I10" s="6"/>
    </row>
    <row r="11" customFormat="false" ht="150" hidden="false" customHeight="true" outlineLevel="0" collapsed="false">
      <c r="A11" s="5" t="n">
        <v>9</v>
      </c>
      <c r="B11" s="5" t="s">
        <v>62</v>
      </c>
      <c r="C11" s="5" t="n">
        <v>2026</v>
      </c>
      <c r="D11" s="5" t="s">
        <v>63</v>
      </c>
      <c r="E11" s="5" t="s">
        <v>64</v>
      </c>
      <c r="F11" s="5" t="s">
        <v>65</v>
      </c>
      <c r="G11" s="6"/>
      <c r="H11" s="6"/>
      <c r="I11" s="6"/>
    </row>
    <row r="12" customFormat="false" ht="150" hidden="false" customHeight="true" outlineLevel="0" collapsed="false">
      <c r="A12" s="5" t="n">
        <v>10</v>
      </c>
      <c r="B12" s="5" t="s">
        <v>66</v>
      </c>
      <c r="C12" s="5" t="n">
        <v>2026</v>
      </c>
      <c r="D12" s="5" t="s">
        <v>67</v>
      </c>
      <c r="E12" s="5" t="s">
        <v>68</v>
      </c>
      <c r="F12" s="5" t="s">
        <v>69</v>
      </c>
      <c r="G12" s="6"/>
      <c r="H12" s="6"/>
      <c r="I12" s="6"/>
    </row>
    <row r="13" customFormat="false" ht="150" hidden="false" customHeight="true" outlineLevel="0" collapsed="false">
      <c r="A13" s="5" t="n">
        <v>11</v>
      </c>
      <c r="B13" s="5" t="s">
        <v>70</v>
      </c>
      <c r="C13" s="5" t="n">
        <v>2026</v>
      </c>
      <c r="D13" s="5" t="s">
        <v>71</v>
      </c>
      <c r="E13" s="5" t="s">
        <v>72</v>
      </c>
      <c r="F13" s="5" t="s">
        <v>73</v>
      </c>
      <c r="G13" s="6"/>
      <c r="H13" s="6"/>
      <c r="I13" s="6"/>
    </row>
    <row r="14" customFormat="false" ht="150" hidden="false" customHeight="true" outlineLevel="0" collapsed="false">
      <c r="A14" s="5" t="n">
        <v>12</v>
      </c>
      <c r="B14" s="5" t="s">
        <v>74</v>
      </c>
      <c r="C14" s="5" t="n">
        <v>2025</v>
      </c>
      <c r="D14" s="5" t="s">
        <v>75</v>
      </c>
      <c r="E14" s="5" t="s">
        <v>76</v>
      </c>
      <c r="F14" s="5" t="s">
        <v>77</v>
      </c>
      <c r="G14" s="6"/>
      <c r="H14" s="6"/>
      <c r="I14" s="6"/>
    </row>
    <row r="15" customFormat="false" ht="150" hidden="false" customHeight="true" outlineLevel="0" collapsed="false">
      <c r="A15" s="5" t="n">
        <v>13</v>
      </c>
      <c r="B15" s="5" t="s">
        <v>78</v>
      </c>
      <c r="C15" s="5" t="n">
        <v>2025</v>
      </c>
      <c r="D15" s="5" t="s">
        <v>79</v>
      </c>
      <c r="E15" s="5" t="s">
        <v>80</v>
      </c>
      <c r="F15" s="5" t="s">
        <v>81</v>
      </c>
      <c r="G15" s="6"/>
      <c r="H15" s="6"/>
      <c r="I15" s="6"/>
    </row>
    <row r="16" customFormat="false" ht="150" hidden="false" customHeight="true" outlineLevel="0" collapsed="false">
      <c r="A16" s="5" t="n">
        <v>14</v>
      </c>
      <c r="B16" s="5" t="s">
        <v>82</v>
      </c>
      <c r="C16" s="5" t="n">
        <v>2026</v>
      </c>
      <c r="D16" s="5" t="s">
        <v>83</v>
      </c>
      <c r="E16" s="5" t="s">
        <v>84</v>
      </c>
      <c r="F16" s="5" t="s">
        <v>85</v>
      </c>
      <c r="G16" s="6"/>
      <c r="H16" s="6"/>
      <c r="I16" s="6"/>
    </row>
    <row r="17" customFormat="false" ht="150" hidden="false" customHeight="true" outlineLevel="0" collapsed="false">
      <c r="A17" s="5" t="n">
        <v>15</v>
      </c>
      <c r="B17" s="5" t="s">
        <v>86</v>
      </c>
      <c r="C17" s="5" t="n">
        <v>2026</v>
      </c>
      <c r="D17" s="5" t="s">
        <v>87</v>
      </c>
      <c r="E17" s="5" t="s">
        <v>88</v>
      </c>
      <c r="F17" s="5" t="s">
        <v>89</v>
      </c>
      <c r="G17" s="6"/>
      <c r="H17" s="6"/>
      <c r="I17" s="6"/>
    </row>
    <row r="18" customFormat="false" ht="150" hidden="false" customHeight="true" outlineLevel="0" collapsed="false">
      <c r="A18" s="5" t="n">
        <v>16</v>
      </c>
      <c r="B18" s="5" t="s">
        <v>90</v>
      </c>
      <c r="C18" s="5" t="n">
        <v>2026</v>
      </c>
      <c r="D18" s="5" t="s">
        <v>91</v>
      </c>
      <c r="E18" s="5" t="s">
        <v>92</v>
      </c>
      <c r="F18" s="5" t="s">
        <v>93</v>
      </c>
      <c r="G18" s="6"/>
      <c r="H18" s="6"/>
      <c r="I18" s="6"/>
    </row>
    <row r="19" customFormat="false" ht="150" hidden="false" customHeight="true" outlineLevel="0" collapsed="false">
      <c r="A19" s="5" t="n">
        <v>17</v>
      </c>
      <c r="B19" s="5" t="s">
        <v>94</v>
      </c>
      <c r="C19" s="5" t="n">
        <v>2025</v>
      </c>
      <c r="D19" s="5" t="s">
        <v>95</v>
      </c>
      <c r="E19" s="5" t="s">
        <v>96</v>
      </c>
      <c r="F19" s="5" t="s">
        <v>97</v>
      </c>
      <c r="G19" s="6"/>
      <c r="H19" s="6"/>
      <c r="I19" s="6"/>
    </row>
    <row r="20" customFormat="false" ht="150" hidden="false" customHeight="true" outlineLevel="0" collapsed="false">
      <c r="A20" s="5" t="n">
        <v>18</v>
      </c>
      <c r="B20" s="5" t="s">
        <v>98</v>
      </c>
      <c r="C20" s="5" t="n">
        <v>2026</v>
      </c>
      <c r="D20" s="5" t="s">
        <v>99</v>
      </c>
      <c r="E20" s="5" t="s">
        <v>100</v>
      </c>
      <c r="F20" s="5" t="s">
        <v>101</v>
      </c>
      <c r="G20" s="6"/>
      <c r="H20" s="6"/>
      <c r="I20" s="6"/>
    </row>
    <row r="21" customFormat="false" ht="150" hidden="false" customHeight="true" outlineLevel="0" collapsed="false">
      <c r="A21" s="5" t="n">
        <v>19</v>
      </c>
      <c r="B21" s="5" t="s">
        <v>102</v>
      </c>
      <c r="C21" s="5" t="n">
        <v>2026</v>
      </c>
      <c r="D21" s="5" t="s">
        <v>103</v>
      </c>
      <c r="E21" s="5" t="s">
        <v>104</v>
      </c>
      <c r="F21" s="5" t="s">
        <v>105</v>
      </c>
      <c r="G21" s="6"/>
      <c r="H21" s="6"/>
      <c r="I21" s="6"/>
    </row>
    <row r="22" customFormat="false" ht="150" hidden="false" customHeight="true" outlineLevel="0" collapsed="false">
      <c r="A22" s="5" t="n">
        <v>20</v>
      </c>
      <c r="B22" s="5" t="s">
        <v>106</v>
      </c>
      <c r="C22" s="5" t="n">
        <v>2026</v>
      </c>
      <c r="D22" s="5" t="s">
        <v>107</v>
      </c>
      <c r="E22" s="5" t="s">
        <v>108</v>
      </c>
      <c r="F22" s="5" t="s">
        <v>109</v>
      </c>
      <c r="G22" s="6"/>
      <c r="H22" s="6"/>
      <c r="I22" s="6"/>
    </row>
    <row r="23" customFormat="false" ht="150" hidden="false" customHeight="true" outlineLevel="0" collapsed="false">
      <c r="A23" s="5" t="n">
        <v>21</v>
      </c>
      <c r="B23" s="5" t="s">
        <v>110</v>
      </c>
      <c r="C23" s="5" t="n">
        <v>2026</v>
      </c>
      <c r="D23" s="5" t="s">
        <v>111</v>
      </c>
      <c r="E23" s="5" t="s">
        <v>112</v>
      </c>
      <c r="F23" s="5" t="s">
        <v>113</v>
      </c>
      <c r="G23" s="6"/>
      <c r="H23" s="6"/>
      <c r="I23" s="6"/>
    </row>
    <row r="24" customFormat="false" ht="150" hidden="false" customHeight="true" outlineLevel="0" collapsed="false">
      <c r="A24" s="5" t="n">
        <v>22</v>
      </c>
      <c r="B24" s="5" t="s">
        <v>114</v>
      </c>
      <c r="C24" s="5" t="n">
        <v>2026</v>
      </c>
      <c r="D24" s="5" t="s">
        <v>115</v>
      </c>
      <c r="E24" s="5" t="s">
        <v>116</v>
      </c>
      <c r="F24" s="5" t="s">
        <v>117</v>
      </c>
      <c r="G24" s="6"/>
      <c r="H24" s="6"/>
      <c r="I24" s="6"/>
    </row>
    <row r="25" customFormat="false" ht="150" hidden="false" customHeight="true" outlineLevel="0" collapsed="false">
      <c r="A25" s="5" t="n">
        <v>23</v>
      </c>
      <c r="B25" s="5" t="s">
        <v>118</v>
      </c>
      <c r="C25" s="5" t="n">
        <v>2026</v>
      </c>
      <c r="D25" s="5" t="s">
        <v>119</v>
      </c>
      <c r="E25" s="5" t="s">
        <v>120</v>
      </c>
      <c r="F25" s="5" t="s">
        <v>121</v>
      </c>
      <c r="G25" s="6"/>
      <c r="H25" s="6"/>
      <c r="I25" s="6"/>
    </row>
    <row r="26" customFormat="false" ht="150" hidden="false" customHeight="true" outlineLevel="0" collapsed="false">
      <c r="A26" s="5" t="n">
        <v>24</v>
      </c>
      <c r="B26" s="5" t="s">
        <v>122</v>
      </c>
      <c r="C26" s="5" t="n">
        <v>2026</v>
      </c>
      <c r="D26" s="5" t="s">
        <v>123</v>
      </c>
      <c r="E26" s="5" t="s">
        <v>124</v>
      </c>
      <c r="F26" s="5" t="s">
        <v>125</v>
      </c>
      <c r="G26" s="6"/>
      <c r="H26" s="6"/>
      <c r="I26" s="6"/>
    </row>
    <row r="27" customFormat="false" ht="150" hidden="false" customHeight="true" outlineLevel="0" collapsed="false">
      <c r="A27" s="5" t="n">
        <v>25</v>
      </c>
      <c r="B27" s="5" t="s">
        <v>126</v>
      </c>
      <c r="C27" s="5" t="n">
        <v>2026</v>
      </c>
      <c r="D27" s="5" t="s">
        <v>127</v>
      </c>
      <c r="E27" s="5" t="s">
        <v>128</v>
      </c>
      <c r="F27" s="5" t="s">
        <v>129</v>
      </c>
      <c r="G27" s="6"/>
      <c r="H27" s="6"/>
      <c r="I27" s="6"/>
    </row>
    <row r="28" customFormat="false" ht="150" hidden="false" customHeight="true" outlineLevel="0" collapsed="false">
      <c r="A28" s="5" t="n">
        <v>26</v>
      </c>
      <c r="B28" s="5" t="s">
        <v>130</v>
      </c>
      <c r="C28" s="5" t="n">
        <v>2026</v>
      </c>
      <c r="D28" s="5" t="s">
        <v>131</v>
      </c>
      <c r="E28" s="5" t="s">
        <v>132</v>
      </c>
      <c r="F28" s="5" t="s">
        <v>133</v>
      </c>
      <c r="G28" s="6"/>
      <c r="H28" s="6"/>
      <c r="I28" s="6"/>
    </row>
    <row r="29" customFormat="false" ht="150" hidden="false" customHeight="true" outlineLevel="0" collapsed="false">
      <c r="A29" s="5" t="n">
        <v>27</v>
      </c>
      <c r="B29" s="5" t="s">
        <v>134</v>
      </c>
      <c r="C29" s="5" t="n">
        <v>2026</v>
      </c>
      <c r="D29" s="5" t="s">
        <v>135</v>
      </c>
      <c r="E29" s="5" t="s">
        <v>136</v>
      </c>
      <c r="F29" s="5" t="s">
        <v>137</v>
      </c>
      <c r="G29" s="6"/>
      <c r="H29" s="6"/>
      <c r="I29" s="6"/>
    </row>
    <row r="30" customFormat="false" ht="150" hidden="false" customHeight="true" outlineLevel="0" collapsed="false">
      <c r="A30" s="5" t="n">
        <v>28</v>
      </c>
      <c r="B30" s="5" t="s">
        <v>138</v>
      </c>
      <c r="C30" s="5" t="n">
        <v>2024</v>
      </c>
      <c r="D30" s="5" t="s">
        <v>139</v>
      </c>
      <c r="E30" s="5" t="s">
        <v>140</v>
      </c>
      <c r="F30" s="5" t="s">
        <v>141</v>
      </c>
      <c r="G30" s="6"/>
      <c r="H30" s="6"/>
      <c r="I30" s="6"/>
    </row>
    <row r="31" customFormat="false" ht="150" hidden="false" customHeight="true" outlineLevel="0" collapsed="false">
      <c r="A31" s="5" t="n">
        <v>29</v>
      </c>
      <c r="B31" s="5" t="s">
        <v>142</v>
      </c>
      <c r="C31" s="5" t="n">
        <v>2026</v>
      </c>
      <c r="D31" s="5" t="s">
        <v>143</v>
      </c>
      <c r="E31" s="5" t="s">
        <v>144</v>
      </c>
      <c r="F31" s="5" t="s">
        <v>145</v>
      </c>
      <c r="G31" s="6"/>
      <c r="H31" s="6"/>
      <c r="I31" s="6"/>
    </row>
    <row r="32" customFormat="false" ht="150" hidden="false" customHeight="true" outlineLevel="0" collapsed="false">
      <c r="A32" s="5" t="n">
        <v>30</v>
      </c>
      <c r="B32" s="5" t="s">
        <v>146</v>
      </c>
      <c r="C32" s="5" t="n">
        <v>2025</v>
      </c>
      <c r="D32" s="5" t="s">
        <v>147</v>
      </c>
      <c r="E32" s="5" t="s">
        <v>148</v>
      </c>
      <c r="F32" s="5" t="s">
        <v>149</v>
      </c>
      <c r="G32" s="6"/>
      <c r="H32" s="6"/>
      <c r="I32" s="6"/>
    </row>
    <row r="33" customFormat="false" ht="150" hidden="false" customHeight="true" outlineLevel="0" collapsed="false">
      <c r="A33" s="5" t="n">
        <v>31</v>
      </c>
      <c r="B33" s="5" t="s">
        <v>150</v>
      </c>
      <c r="C33" s="5" t="n">
        <v>2026</v>
      </c>
      <c r="D33" s="5" t="s">
        <v>151</v>
      </c>
      <c r="E33" s="5" t="s">
        <v>49</v>
      </c>
      <c r="F33" s="5" t="s">
        <v>152</v>
      </c>
      <c r="G33" s="6"/>
      <c r="H33" s="6"/>
      <c r="I33" s="6"/>
    </row>
    <row r="34" customFormat="false" ht="150" hidden="false" customHeight="true" outlineLevel="0" collapsed="false">
      <c r="A34" s="5" t="n">
        <v>32</v>
      </c>
      <c r="B34" s="5" t="s">
        <v>153</v>
      </c>
      <c r="C34" s="5" t="n">
        <v>2025</v>
      </c>
      <c r="D34" s="5" t="s">
        <v>154</v>
      </c>
      <c r="E34" s="5" t="s">
        <v>155</v>
      </c>
      <c r="F34" s="5" t="s">
        <v>156</v>
      </c>
      <c r="G34" s="6"/>
      <c r="H34" s="6"/>
      <c r="I34" s="6"/>
    </row>
    <row r="35" customFormat="false" ht="150" hidden="false" customHeight="true" outlineLevel="0" collapsed="false">
      <c r="A35" s="5" t="n">
        <v>33</v>
      </c>
      <c r="B35" s="5" t="s">
        <v>157</v>
      </c>
      <c r="C35" s="5" t="n">
        <v>2023</v>
      </c>
      <c r="D35" s="5" t="s">
        <v>158</v>
      </c>
      <c r="E35" s="5" t="s">
        <v>159</v>
      </c>
      <c r="F35" s="5" t="s">
        <v>160</v>
      </c>
      <c r="G35" s="6"/>
      <c r="H35" s="6"/>
      <c r="I35" s="6"/>
    </row>
    <row r="36" customFormat="false" ht="150" hidden="false" customHeight="true" outlineLevel="0" collapsed="false">
      <c r="A36" s="5" t="n">
        <v>34</v>
      </c>
      <c r="B36" s="5" t="s">
        <v>161</v>
      </c>
      <c r="C36" s="5" t="n">
        <v>2025</v>
      </c>
      <c r="D36" s="5" t="s">
        <v>162</v>
      </c>
      <c r="E36" s="5" t="s">
        <v>163</v>
      </c>
      <c r="F36" s="5" t="s">
        <v>164</v>
      </c>
      <c r="G36" s="6"/>
      <c r="H36" s="6"/>
      <c r="I36" s="6"/>
    </row>
    <row r="37" customFormat="false" ht="150" hidden="false" customHeight="true" outlineLevel="0" collapsed="false">
      <c r="A37" s="5" t="n">
        <v>35</v>
      </c>
      <c r="B37" s="5" t="s">
        <v>165</v>
      </c>
      <c r="C37" s="5" t="n">
        <v>2025</v>
      </c>
      <c r="D37" s="5" t="s">
        <v>166</v>
      </c>
      <c r="E37" s="5" t="s">
        <v>167</v>
      </c>
      <c r="F37" s="5" t="s">
        <v>168</v>
      </c>
      <c r="G37" s="6"/>
      <c r="H37" s="6"/>
      <c r="I37" s="6"/>
    </row>
    <row r="38" customFormat="false" ht="150" hidden="false" customHeight="true" outlineLevel="0" collapsed="false">
      <c r="A38" s="5" t="n">
        <v>36</v>
      </c>
      <c r="B38" s="5" t="s">
        <v>169</v>
      </c>
      <c r="C38" s="5" t="n">
        <v>2025</v>
      </c>
      <c r="D38" s="5" t="s">
        <v>170</v>
      </c>
      <c r="E38" s="5" t="s">
        <v>171</v>
      </c>
      <c r="F38" s="5" t="s">
        <v>172</v>
      </c>
      <c r="G38" s="6"/>
      <c r="H38" s="6"/>
      <c r="I38" s="6"/>
    </row>
    <row r="39" customFormat="false" ht="150" hidden="false" customHeight="true" outlineLevel="0" collapsed="false">
      <c r="A39" s="5" t="n">
        <v>37</v>
      </c>
      <c r="B39" s="5" t="s">
        <v>173</v>
      </c>
      <c r="C39" s="5" t="n">
        <v>2026</v>
      </c>
      <c r="D39" s="5" t="s">
        <v>174</v>
      </c>
      <c r="E39" s="5" t="s">
        <v>175</v>
      </c>
      <c r="F39" s="5" t="s">
        <v>176</v>
      </c>
      <c r="G39" s="6"/>
      <c r="H39" s="6"/>
      <c r="I39" s="6"/>
    </row>
    <row r="40" customFormat="false" ht="150" hidden="false" customHeight="true" outlineLevel="0" collapsed="false">
      <c r="A40" s="5" t="n">
        <v>38</v>
      </c>
      <c r="B40" s="5" t="s">
        <v>177</v>
      </c>
      <c r="C40" s="5" t="n">
        <v>2026</v>
      </c>
      <c r="D40" s="5" t="s">
        <v>178</v>
      </c>
      <c r="E40" s="5" t="s">
        <v>179</v>
      </c>
      <c r="F40" s="5" t="s">
        <v>180</v>
      </c>
      <c r="G40" s="6"/>
      <c r="H40" s="6"/>
      <c r="I40" s="6"/>
    </row>
    <row r="41" customFormat="false" ht="150" hidden="false" customHeight="true" outlineLevel="0" collapsed="false">
      <c r="A41" s="5" t="n">
        <v>39</v>
      </c>
      <c r="B41" s="5" t="s">
        <v>181</v>
      </c>
      <c r="C41" s="5" t="n">
        <v>2025</v>
      </c>
      <c r="D41" s="5" t="s">
        <v>182</v>
      </c>
      <c r="E41" s="5" t="s">
        <v>183</v>
      </c>
      <c r="F41" s="5" t="s">
        <v>184</v>
      </c>
      <c r="G41" s="6"/>
      <c r="H41" s="6"/>
      <c r="I41" s="6"/>
    </row>
    <row r="42" customFormat="false" ht="150" hidden="false" customHeight="true" outlineLevel="0" collapsed="false">
      <c r="A42" s="5" t="n">
        <v>40</v>
      </c>
      <c r="B42" s="5" t="s">
        <v>185</v>
      </c>
      <c r="C42" s="5" t="n">
        <v>2026</v>
      </c>
      <c r="D42" s="5" t="s">
        <v>186</v>
      </c>
      <c r="E42" s="5" t="s">
        <v>187</v>
      </c>
      <c r="F42" s="5" t="s">
        <v>188</v>
      </c>
      <c r="G42" s="6"/>
      <c r="H42" s="6"/>
      <c r="I42" s="6"/>
    </row>
    <row r="43" customFormat="false" ht="150" hidden="false" customHeight="true" outlineLevel="0" collapsed="false">
      <c r="A43" s="5" t="n">
        <v>41</v>
      </c>
      <c r="B43" s="5" t="s">
        <v>189</v>
      </c>
      <c r="C43" s="5" t="n">
        <v>2025</v>
      </c>
      <c r="D43" s="5" t="s">
        <v>190</v>
      </c>
      <c r="E43" s="5" t="s">
        <v>191</v>
      </c>
      <c r="F43" s="5" t="s">
        <v>192</v>
      </c>
      <c r="G43" s="6"/>
      <c r="H43" s="6"/>
      <c r="I43" s="6"/>
    </row>
    <row r="44" customFormat="false" ht="150" hidden="false" customHeight="true" outlineLevel="0" collapsed="false">
      <c r="A44" s="5" t="n">
        <v>42</v>
      </c>
      <c r="B44" s="5" t="s">
        <v>193</v>
      </c>
      <c r="C44" s="5" t="n">
        <v>2026</v>
      </c>
      <c r="D44" s="5" t="s">
        <v>194</v>
      </c>
      <c r="E44" s="5" t="s">
        <v>92</v>
      </c>
      <c r="F44" s="5" t="s">
        <v>195</v>
      </c>
      <c r="G44" s="6"/>
      <c r="H44" s="6"/>
      <c r="I44" s="6"/>
    </row>
    <row r="45" customFormat="false" ht="150" hidden="false" customHeight="true" outlineLevel="0" collapsed="false">
      <c r="A45" s="5" t="n">
        <v>43</v>
      </c>
      <c r="B45" s="5" t="s">
        <v>196</v>
      </c>
      <c r="C45" s="5" t="n">
        <v>2025</v>
      </c>
      <c r="D45" s="5" t="s">
        <v>197</v>
      </c>
      <c r="E45" s="5" t="s">
        <v>191</v>
      </c>
      <c r="F45" s="5" t="s">
        <v>198</v>
      </c>
      <c r="G45" s="6"/>
      <c r="H45" s="6"/>
      <c r="I45" s="6"/>
    </row>
    <row r="46" customFormat="false" ht="150" hidden="false" customHeight="true" outlineLevel="0" collapsed="false">
      <c r="A46" s="5" t="n">
        <v>44</v>
      </c>
      <c r="B46" s="5" t="s">
        <v>199</v>
      </c>
      <c r="C46" s="5" t="n">
        <v>2026</v>
      </c>
      <c r="D46" s="5" t="s">
        <v>200</v>
      </c>
      <c r="E46" s="5" t="s">
        <v>201</v>
      </c>
      <c r="F46" s="5" t="s">
        <v>202</v>
      </c>
      <c r="G46" s="6"/>
      <c r="H46" s="6"/>
      <c r="I46" s="6"/>
    </row>
    <row r="47" customFormat="false" ht="150" hidden="false" customHeight="true" outlineLevel="0" collapsed="false">
      <c r="A47" s="5" t="n">
        <v>45</v>
      </c>
      <c r="B47" s="5" t="s">
        <v>203</v>
      </c>
      <c r="C47" s="5" t="n">
        <v>2026</v>
      </c>
      <c r="D47" s="5" t="s">
        <v>204</v>
      </c>
      <c r="E47" s="5" t="s">
        <v>205</v>
      </c>
      <c r="F47" s="5" t="s">
        <v>206</v>
      </c>
      <c r="G47" s="6"/>
      <c r="H47" s="6"/>
      <c r="I47" s="6"/>
    </row>
    <row r="48" customFormat="false" ht="150" hidden="false" customHeight="true" outlineLevel="0" collapsed="false">
      <c r="A48" s="5" t="n">
        <v>46</v>
      </c>
      <c r="B48" s="5" t="s">
        <v>207</v>
      </c>
      <c r="C48" s="5" t="n">
        <v>2026</v>
      </c>
      <c r="D48" s="5" t="s">
        <v>208</v>
      </c>
      <c r="E48" s="5" t="s">
        <v>209</v>
      </c>
      <c r="F48" s="5" t="s">
        <v>210</v>
      </c>
      <c r="G48" s="6"/>
      <c r="H48" s="6"/>
      <c r="I48" s="6"/>
    </row>
    <row r="49" customFormat="false" ht="150" hidden="false" customHeight="true" outlineLevel="0" collapsed="false">
      <c r="A49" s="5" t="n">
        <v>47</v>
      </c>
      <c r="B49" s="5" t="s">
        <v>211</v>
      </c>
      <c r="C49" s="5" t="n">
        <v>2026</v>
      </c>
      <c r="D49" s="5" t="s">
        <v>212</v>
      </c>
      <c r="E49" s="5" t="s">
        <v>213</v>
      </c>
      <c r="F49" s="5" t="s">
        <v>214</v>
      </c>
      <c r="G49" s="6"/>
      <c r="H49" s="6"/>
      <c r="I49" s="6"/>
    </row>
    <row r="50" customFormat="false" ht="150" hidden="false" customHeight="true" outlineLevel="0" collapsed="false">
      <c r="A50" s="5" t="n">
        <v>48</v>
      </c>
      <c r="B50" s="5" t="s">
        <v>215</v>
      </c>
      <c r="C50" s="5" t="n">
        <v>2026</v>
      </c>
      <c r="D50" s="5" t="s">
        <v>216</v>
      </c>
      <c r="E50" s="5" t="s">
        <v>217</v>
      </c>
      <c r="F50" s="5" t="s">
        <v>218</v>
      </c>
      <c r="G50" s="6"/>
      <c r="H50" s="6"/>
      <c r="I50" s="6"/>
    </row>
    <row r="51" customFormat="false" ht="150" hidden="false" customHeight="true" outlineLevel="0" collapsed="false">
      <c r="A51" s="5" t="n">
        <v>49</v>
      </c>
      <c r="B51" s="5" t="s">
        <v>219</v>
      </c>
      <c r="C51" s="5" t="n">
        <v>2025</v>
      </c>
      <c r="D51" s="5" t="s">
        <v>220</v>
      </c>
      <c r="E51" s="5" t="s">
        <v>221</v>
      </c>
      <c r="F51" s="5" t="s">
        <v>222</v>
      </c>
      <c r="G51" s="6"/>
      <c r="H51" s="6"/>
      <c r="I51" s="6"/>
    </row>
    <row r="52" customFormat="false" ht="150" hidden="false" customHeight="true" outlineLevel="0" collapsed="false">
      <c r="A52" s="5" t="n">
        <v>50</v>
      </c>
      <c r="B52" s="5" t="s">
        <v>223</v>
      </c>
      <c r="C52" s="5" t="n">
        <v>2026</v>
      </c>
      <c r="D52" s="5" t="s">
        <v>224</v>
      </c>
      <c r="E52" s="5" t="s">
        <v>33</v>
      </c>
      <c r="F52" s="5" t="s">
        <v>225</v>
      </c>
      <c r="G52" s="6"/>
      <c r="H52" s="6"/>
      <c r="I52" s="6"/>
    </row>
    <row r="54" customFormat="false" ht="15" hidden="false" customHeight="false" outlineLevel="0" collapsed="false">
      <c r="D54" s="7" t="s">
        <v>226</v>
      </c>
    </row>
    <row r="55" customFormat="false" ht="15" hidden="false" customHeight="false" outlineLevel="0" collapsed="false">
      <c r="D55" s="8" t="s">
        <v>29</v>
      </c>
      <c r="E55" s="8" t="n">
        <f aca="false">COUNTIF($G$3:$G$52,"INCLUIR")</f>
        <v>0</v>
      </c>
    </row>
    <row r="56" customFormat="false" ht="15" hidden="false" customHeight="false" outlineLevel="0" collapsed="false">
      <c r="D56" s="8" t="s">
        <v>227</v>
      </c>
      <c r="E56" s="8" t="n">
        <f aca="false">COUNTIF($G$3:$G$52,"EXCLUIR")</f>
        <v>0</v>
      </c>
    </row>
    <row r="57" customFormat="false" ht="15" hidden="false" customHeight="false" outlineLevel="0" collapsed="false">
      <c r="D57" s="8" t="s">
        <v>228</v>
      </c>
      <c r="E57" s="8" t="n">
        <f aca="false">COUNTIF($G$3:$G$52,"DUDOSO")</f>
        <v>0</v>
      </c>
    </row>
    <row r="58" customFormat="false" ht="15" hidden="false" customHeight="false" outlineLevel="0" collapsed="false">
      <c r="D58" s="8" t="s">
        <v>229</v>
      </c>
      <c r="E58" s="8" t="n">
        <f aca="false">50-SUM(E55:E57)</f>
        <v>50</v>
      </c>
    </row>
  </sheetData>
  <dataValidations count="2">
    <dataValidation allowBlank="true" errorStyle="stop" operator="between" showDropDown="false" showErrorMessage="false" showInputMessage="false" sqref="G3:G52" type="list">
      <formula1>"INCLUIR,EXCLUIR,DUDOSO"</formula1>
      <formula2>0</formula2>
    </dataValidation>
    <dataValidation allowBlank="true" errorStyle="stop" operator="between" showDropDown="false" showErrorMessage="false" showInputMessage="false" sqref="H3:H52" type="list">
      <formula1>"E1,E2,E3,E4,E5,E6,E7,E8,E9"</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2026-10-24T15:42:43Z</dcterms:created>
  <dc:creator>openpyxl</dc:creator>
  <dc:description/>
  <dc:language>en-US</dc:language>
  <cp:lastModifiedBy/>
  <dcterms:modified xsi:type="dcterms:W3CDTF">2026-10-24T15:42:43Z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